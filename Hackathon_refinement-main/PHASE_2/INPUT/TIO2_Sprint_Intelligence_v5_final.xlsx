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VU1COB\Downloads\"/>
    </mc:Choice>
  </mc:AlternateContent>
  <xr:revisionPtr revIDLastSave="0" documentId="13_ncr:1_{C4ED07C8-75E2-45F2-AF1B-0E158DBDADB9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Project_Info" sheetId="1" r:id="rId1"/>
    <sheet name="Team" sheetId="2" r:id="rId2"/>
    <sheet name="Sprint_Plan" sheetId="3" r:id="rId3"/>
    <sheet name="Work_Items" sheetId="4" r:id="rId4"/>
    <sheet name="Dependencies" sheetId="5" r:id="rId5"/>
    <sheet name="Blockers" sheetId="6" r:id="rId6"/>
    <sheet name="Lis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3" i="4" l="1"/>
  <c r="I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M52" i="4"/>
  <c r="M51" i="4"/>
  <c r="M50" i="4"/>
  <c r="L50" i="4"/>
  <c r="M49" i="4"/>
  <c r="M48" i="4"/>
  <c r="M47" i="4"/>
  <c r="L47" i="4"/>
  <c r="K73" i="4" s="1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G10" i="3"/>
  <c r="G9" i="3"/>
  <c r="G8" i="3"/>
  <c r="H7" i="3"/>
  <c r="G7" i="3"/>
  <c r="H6" i="3"/>
  <c r="G6" i="3"/>
  <c r="H5" i="3"/>
  <c r="G5" i="3"/>
  <c r="H4" i="3"/>
  <c r="G4" i="3"/>
  <c r="H3" i="3"/>
  <c r="G3" i="3"/>
</calcChain>
</file>

<file path=xl/sharedStrings.xml><?xml version="1.0" encoding="utf-8"?>
<sst xmlns="http://schemas.openxmlformats.org/spreadsheetml/2006/main" count="1195" uniqueCount="418">
  <si>
    <t>TIO2 SPRINT INTELLIGENCE  ·  PROJECT INFORMATION</t>
  </si>
  <si>
    <t>Project Name</t>
  </si>
  <si>
    <t>Sponsor</t>
  </si>
  <si>
    <t>Business Unit</t>
  </si>
  <si>
    <t>Project Manager</t>
  </si>
  <si>
    <t>Start Date</t>
  </si>
  <si>
    <t>Target End Date</t>
  </si>
  <si>
    <t>Sprint Length (Days)</t>
  </si>
  <si>
    <t>Methodology</t>
  </si>
  <si>
    <t>Customer</t>
  </si>
  <si>
    <t>Status</t>
  </si>
  <si>
    <t>TIO2 – Telematics Gateway ECU Modernization</t>
  </si>
  <si>
    <t>Dr. Klaus Bergmann</t>
  </si>
  <si>
    <t>Commercial Vehicles</t>
  </si>
  <si>
    <t>Suresh Iyer</t>
  </si>
  <si>
    <t>2026-04-21</t>
  </si>
  <si>
    <t>2026-08-10</t>
  </si>
  <si>
    <t>Agile Scrum</t>
  </si>
  <si>
    <t>Daimler Truck</t>
  </si>
  <si>
    <t>Active</t>
  </si>
  <si>
    <t>KEY PROJECT METRICS</t>
  </si>
  <si>
    <t>Total Sprints</t>
  </si>
  <si>
    <t>Sprint Length (days)</t>
  </si>
  <si>
    <t>Target Confidence Level</t>
  </si>
  <si>
    <t>80%</t>
  </si>
  <si>
    <t>Current Sprint</t>
  </si>
  <si>
    <t>Sprints Completed</t>
  </si>
  <si>
    <t>Sprints Remaining</t>
  </si>
  <si>
    <t>Total Team Size</t>
  </si>
  <si>
    <t>Technology Domain</t>
  </si>
  <si>
    <t>Automotive Embedded Software</t>
  </si>
  <si>
    <t>Compliance Target</t>
  </si>
  <si>
    <t>MISRA C:2012, ASPICE L2</t>
  </si>
  <si>
    <t>Release Cadence</t>
  </si>
  <si>
    <t>45-Day Delivery Cycle</t>
  </si>
  <si>
    <t>TIO2 – TEAM RESOURCE REGISTER</t>
  </si>
  <si>
    <t>Resource Name</t>
  </si>
  <si>
    <t>Role</t>
  </si>
  <si>
    <t>Skill 1</t>
  </si>
  <si>
    <t>Skill 1 Level</t>
  </si>
  <si>
    <t>Skill 2</t>
  </si>
  <si>
    <t>Skill 2 Level</t>
  </si>
  <si>
    <t>Skill 3</t>
  </si>
  <si>
    <t>Skill 3 Level</t>
  </si>
  <si>
    <t>S1 Alloc %</t>
  </si>
  <si>
    <t>S1 Avail %</t>
  </si>
  <si>
    <t>S2 Alloc %</t>
  </si>
  <si>
    <t>S2 Avail %</t>
  </si>
  <si>
    <t>S3 Alloc %</t>
  </si>
  <si>
    <t>S3 Avail %</t>
  </si>
  <si>
    <t>S4 Alloc %</t>
  </si>
  <si>
    <t>S4 Avail %</t>
  </si>
  <si>
    <t>S5 Alloc %</t>
  </si>
  <si>
    <t>S5 Avail %</t>
  </si>
  <si>
    <t>S6 Alloc %</t>
  </si>
  <si>
    <t>S6 Avail %</t>
  </si>
  <si>
    <t>S7 Alloc %</t>
  </si>
  <si>
    <t>S7 Avail %</t>
  </si>
  <si>
    <t>S8 Alloc %</t>
  </si>
  <si>
    <t>S8 Avail %</t>
  </si>
  <si>
    <t>Karthik Subramaniam</t>
  </si>
  <si>
    <t>Technical Lead / AUTOSAR Architect</t>
  </si>
  <si>
    <t>AUTOSAR Stack Configuration</t>
  </si>
  <si>
    <t>L1-Expert</t>
  </si>
  <si>
    <t>MCAL Driver Integration</t>
  </si>
  <si>
    <t>L2-Advanced</t>
  </si>
  <si>
    <t>OS Task Scheduling</t>
  </si>
  <si>
    <t>Priya Meenakshi</t>
  </si>
  <si>
    <t>Senior CAN / Protocols Engineer</t>
  </si>
  <si>
    <t>CAN / J1939 Protocol Development</t>
  </si>
  <si>
    <t>COM Stack &amp; Signal Mapping</t>
  </si>
  <si>
    <t>CANoe Scripting</t>
  </si>
  <si>
    <t>L3-Intermediate</t>
  </si>
  <si>
    <t>Arjun Sundaram</t>
  </si>
  <si>
    <t>Diagnostics Engineer</t>
  </si>
  <si>
    <t>UDS Diagnostics &amp; DTC Management</t>
  </si>
  <si>
    <t>DCM / DEM Module Configuration</t>
  </si>
  <si>
    <t>ASPICE Audit Support</t>
  </si>
  <si>
    <t>Vikram Narayanan</t>
  </si>
  <si>
    <t>System Architect / Integration Lead</t>
  </si>
  <si>
    <t>ECU Integration &amp; Gateway Routing</t>
  </si>
  <si>
    <t>PDU Configuration</t>
  </si>
  <si>
    <t>Fleet Telemetry</t>
  </si>
  <si>
    <t>Akshaya Krishnan</t>
  </si>
  <si>
    <t>Test Engineer</t>
  </si>
  <si>
    <t>HIL Testing &amp; CANoe Automation</t>
  </si>
  <si>
    <t>Regression &amp; Integration Testing</t>
  </si>
  <si>
    <t>OTA Validation</t>
  </si>
  <si>
    <t>Sandeep Annamalai</t>
  </si>
  <si>
    <t>Cybersecurity Engineer</t>
  </si>
  <si>
    <t>Automotive Cybersecurity (EVITA)</t>
  </si>
  <si>
    <t>SecOC &amp; Secure Boot</t>
  </si>
  <si>
    <t>HSM Integration</t>
  </si>
  <si>
    <t>Divya Rajalakshmi</t>
  </si>
  <si>
    <t>Scrum Master</t>
  </si>
  <si>
    <t>Agile Delivery &amp; Sprint Tracking</t>
  </si>
  <si>
    <t>Stakeholder Communication</t>
  </si>
  <si>
    <t>DoD Governance</t>
  </si>
  <si>
    <t>Meena Balasubramanian</t>
  </si>
  <si>
    <t>OTA / Firmware Engineer</t>
  </si>
  <si>
    <t>OTA Firmware Update Mechanisms</t>
  </si>
  <si>
    <t>Manifest &amp; Delta Packaging</t>
  </si>
  <si>
    <t>Backend API Integration</t>
  </si>
  <si>
    <t>L4-Beginner</t>
  </si>
  <si>
    <t>Ravi Chandran</t>
  </si>
  <si>
    <t>Junior Test / Integration Engineer</t>
  </si>
  <si>
    <t>Skill Levels: L1=Expert  |  L2=Advanced  |  L3=Intermediate  |  L4=Beginner</t>
  </si>
  <si>
    <t>TIO2 – SPRINT PLAN</t>
  </si>
  <si>
    <t>Sprint Name</t>
  </si>
  <si>
    <t>End Date</t>
  </si>
  <si>
    <t>Duration (Days)</t>
  </si>
  <si>
    <t>Sprint Goal</t>
  </si>
  <si>
    <t>Velocity (h)</t>
  </si>
  <si>
    <t>Carry-Over Items</t>
  </si>
  <si>
    <t>Sprint 1</t>
  </si>
  <si>
    <t>2026-05-04</t>
  </si>
  <si>
    <t>Platform Setup — dev environment, ETAS ISOLAR-A/B toolchain, AUTOSAR BSW baseline (MICROSAR), CAN driver scaffolding, ECU HAL init, OS task scheduling, CI pipeline.</t>
  </si>
  <si>
    <t>Completed</t>
  </si>
  <si>
    <t>Sprint 2</t>
  </si>
  <si>
    <t>2026-05-05</t>
  </si>
  <si>
    <t>2026-05-18</t>
  </si>
  <si>
    <t>CAN Communication — J1939 stack, CAN frame routing, signal mapping, PDU configuration, gateway routing table, CANoe test harness, address claiming.</t>
  </si>
  <si>
    <t>Sprint 3</t>
  </si>
  <si>
    <t>2026-05-19</t>
  </si>
  <si>
    <t>2026-06-01</t>
  </si>
  <si>
    <t>Diagnostics — UDS services (0x10/0x19/0x22/0x27/0x2E), DTC management, session control. New joiner (Ravi) onboarded. BLK-001 OEM spec blocker caused partial rework on UDS.</t>
  </si>
  <si>
    <t>Sprint 4</t>
  </si>
  <si>
    <t>2026-06-02</t>
  </si>
  <si>
    <t>2026-06-15</t>
  </si>
  <si>
    <t>AUTOSAR Integration — RTE generation, SWC mapping, MCAL (SPI/LIN/Eth), DCM/DEM, COM signal routing, NvM. COM stack rework loop. BLK-003 HW bench blocked 3 WIs (rescheduled to S5).</t>
  </si>
  <si>
    <t>Sprint 5</t>
  </si>
  <si>
    <t>2026-06-16</t>
  </si>
  <si>
    <t>2026-06-29</t>
  </si>
  <si>
    <t>Cybersecurity — SecOC, HSM key mgmt, secure boot, TLS 1.3, EVITA HSM driver, IDS. Sandeep sick leave (8 days). 2 WIs carried to S6. BLK-004 (Daimler API) open.</t>
  </si>
  <si>
    <t>Sprint 6</t>
  </si>
  <si>
    <t>2026-06-30</t>
  </si>
  <si>
    <t>2026-07-13</t>
  </si>
  <si>
    <t>OTA Updates — delta packaging, session manager, rollback, manifest validation. BLK-004 resolution critical. TLS 1.3 + IDS carry-overs from S5.</t>
  </si>
  <si>
    <t>In Progress</t>
  </si>
  <si>
    <t>Sprint 7</t>
  </si>
  <si>
    <t>2026-07-14</t>
  </si>
  <si>
    <t>2026-07-27</t>
  </si>
  <si>
    <t>System Integration — E2E HIL bench, gateway routing validation, CAN+UDS+OTA regression, telemetry signal validation on target HW.</t>
  </si>
  <si>
    <t>Not Started</t>
  </si>
  <si>
    <t>Sprint 8</t>
  </si>
  <si>
    <t>2026-07-28</t>
  </si>
  <si>
    <t>Release Readiness — FOTA E2E, MISRA C:2012 compliance, ASPICE L2 docs, Daimler Truck sign-off.</t>
  </si>
  <si>
    <t>TIO2 – WORK ITEM REGISTER  (Sprint Backlog &amp; Actuals)</t>
  </si>
  <si>
    <t>Task ID</t>
  </si>
  <si>
    <t>Task Name</t>
  </si>
  <si>
    <t>Type</t>
  </si>
  <si>
    <t>Sprint</t>
  </si>
  <si>
    <t>Orig. Sprint</t>
  </si>
  <si>
    <t>Owner</t>
  </si>
  <si>
    <t>Required Skill</t>
  </si>
  <si>
    <t>Priority</t>
  </si>
  <si>
    <t>Orig Est (h)</t>
  </si>
  <si>
    <t>Curr Est (h)</t>
  </si>
  <si>
    <t>Actual Hrs</t>
  </si>
  <si>
    <t>Remaining Hrs</t>
  </si>
  <si>
    <t>Progress %</t>
  </si>
  <si>
    <t>Scope Change</t>
  </si>
  <si>
    <t>Scope Reason</t>
  </si>
  <si>
    <t>WI-001</t>
  </si>
  <si>
    <t>AUTOSAR BSW Baseline Configuration</t>
  </si>
  <si>
    <t>Feature</t>
  </si>
  <si>
    <t>High</t>
  </si>
  <si>
    <t>Yes</t>
  </si>
  <si>
    <t>Technical Debt</t>
  </si>
  <si>
    <t>WI-002</t>
  </si>
  <si>
    <t>Development Toolchain Setup (ETAS ISOLAR-A/B)</t>
  </si>
  <si>
    <t>Task</t>
  </si>
  <si>
    <t>No</t>
  </si>
  <si>
    <t>WI-003</t>
  </si>
  <si>
    <t>CAN Driver Scaffolding</t>
  </si>
  <si>
    <t>Story</t>
  </si>
  <si>
    <t>WI-004</t>
  </si>
  <si>
    <t>ECU Hardware Abstraction Layer (MCAL Init)</t>
  </si>
  <si>
    <t>Customer Request</t>
  </si>
  <si>
    <t>WI-005</t>
  </si>
  <si>
    <t>CANoe Test Environment Setup</t>
  </si>
  <si>
    <t>Medium</t>
  </si>
  <si>
    <t>WI-006</t>
  </si>
  <si>
    <t>AUTOSAR OS Task Scheduling Configuration</t>
  </si>
  <si>
    <t>WI-007</t>
  </si>
  <si>
    <t>Spike: Evaluate ETAS RTA-OS vs MICROSAR OS</t>
  </si>
  <si>
    <t>Spike</t>
  </si>
  <si>
    <t>WI-008</t>
  </si>
  <si>
    <t>COM Stack Initial Configuration</t>
  </si>
  <si>
    <t>Enhancement</t>
  </si>
  <si>
    <t>WI-009</t>
  </si>
  <si>
    <t>Version Control &amp; CI Pipeline Setup</t>
  </si>
  <si>
    <t>WI-010</t>
  </si>
  <si>
    <t>Sprint 1 Definition of Done Review</t>
  </si>
  <si>
    <t>Low</t>
  </si>
  <si>
    <t>WI-011</t>
  </si>
  <si>
    <t>J1939 Protocol Stack Integration</t>
  </si>
  <si>
    <t>WI-012</t>
  </si>
  <si>
    <t>CAN Frame Routing Logic Implementation</t>
  </si>
  <si>
    <t>WI-013</t>
  </si>
  <si>
    <t>Signal Mapping &amp; PDU Configuration</t>
  </si>
  <si>
    <t>WI-014</t>
  </si>
  <si>
    <t>CAN Gateway Routing Table Configuration</t>
  </si>
  <si>
    <t>WI-015</t>
  </si>
  <si>
    <t>CANoe Automated Test Harness (CAN Layer)</t>
  </si>
  <si>
    <t>WI-016</t>
  </si>
  <si>
    <t>Spike: CAN FD Feasibility for High-BW Signals</t>
  </si>
  <si>
    <t>WI-017</t>
  </si>
  <si>
    <t>CAN Bus Error Handling &amp; Fault Injection Tests</t>
  </si>
  <si>
    <t>WI-018</t>
  </si>
  <si>
    <t>J1939 Address Claiming Procedure</t>
  </si>
  <si>
    <t>Regulatory</t>
  </si>
  <si>
    <t>WI-019</t>
  </si>
  <si>
    <t>[CO-S1] Fleet Telemetry Preliminary Design</t>
  </si>
  <si>
    <t>WI-020</t>
  </si>
  <si>
    <t>UDS Service 0x10 – Diagnostic Session Control</t>
  </si>
  <si>
    <t>WI-021</t>
  </si>
  <si>
    <t>UDS Service 0x27 – Security Access</t>
  </si>
  <si>
    <t>WI-022</t>
  </si>
  <si>
    <t>UDS Service 0x19 – Read DTC Information</t>
  </si>
  <si>
    <t>WI-023</t>
  </si>
  <si>
    <t>DTC Management – Fault Storage &amp; Ageing</t>
  </si>
  <si>
    <t>WI-024</t>
  </si>
  <si>
    <t>UDS Service 0x22/0x2E – Data Identifier R/W</t>
  </si>
  <si>
    <t>WI-025</t>
  </si>
  <si>
    <t>Diagnostic Logging Module</t>
  </si>
  <si>
    <t>WI-026</t>
  </si>
  <si>
    <t>CANoe Diagnostic Test Script (KWP/UDS)</t>
  </si>
  <si>
    <t>WI-027</t>
  </si>
  <si>
    <t>Defect: UDS 0x10 Session Timeout Not Honoured</t>
  </si>
  <si>
    <t>Defect</t>
  </si>
  <si>
    <t>WI-028</t>
  </si>
  <si>
    <t>[CO-S2] COM Stack PDU Routing Hardening</t>
  </si>
  <si>
    <t>WI-029</t>
  </si>
  <si>
    <t>Knowledge Transfer: Ravi Chandran Onboarding</t>
  </si>
  <si>
    <t>Other</t>
  </si>
  <si>
    <t>WI-030</t>
  </si>
  <si>
    <t>AUTOSAR RTE Generation &amp; SWC Port Mapping</t>
  </si>
  <si>
    <t>WI-031</t>
  </si>
  <si>
    <t>MCAL Driver Integration (SPI, LIN, Ethernet)</t>
  </si>
  <si>
    <t>WI-032</t>
  </si>
  <si>
    <t>Diagnostic Session Manager Refactor</t>
  </si>
  <si>
    <t>WI-033</t>
  </si>
  <si>
    <t>COM Stack Signal Routing Rework</t>
  </si>
  <si>
    <t>WI-034</t>
  </si>
  <si>
    <t>DCM Module Configuration &amp; Session Handling</t>
  </si>
  <si>
    <t>WI-035</t>
  </si>
  <si>
    <t>DEM Module Configuration &amp; Event Handling</t>
  </si>
  <si>
    <t>WI-036</t>
  </si>
  <si>
    <t>NvM Module – Non-Volatile Storage Configuration</t>
  </si>
  <si>
    <t>WI-037</t>
  </si>
  <si>
    <t>AUTOSAR Integration Test – RTE Scheduler (Shadow)</t>
  </si>
  <si>
    <t>WI-038</t>
  </si>
  <si>
    <t>Sprint 4 DoD Review</t>
  </si>
  <si>
    <t>WI-039</t>
  </si>
  <si>
    <t>Gateway ECU Board Support Package Validation</t>
  </si>
  <si>
    <t>WI-040</t>
  </si>
  <si>
    <t>Memory Footprint Analysis &amp; Stack Profiling</t>
  </si>
  <si>
    <t>WI-041</t>
  </si>
  <si>
    <t>Defect: RTE Runnable Period Drift Under Load</t>
  </si>
  <si>
    <t>WI-044</t>
  </si>
  <si>
    <t>SecOC Module Implementation</t>
  </si>
  <si>
    <t>WI-045</t>
  </si>
  <si>
    <t>HSM Key Management &amp; Certificate Provisioning</t>
  </si>
  <si>
    <t>WI-046</t>
  </si>
  <si>
    <t>Secure Boot Chain Verification</t>
  </si>
  <si>
    <t>WI-047</t>
  </si>
  <si>
    <t>TLS 1.3 for Backend Communication</t>
  </si>
  <si>
    <t>WI-048</t>
  </si>
  <si>
    <t>Cybersecurity Test Plan &amp; Attack Surface Analysis</t>
  </si>
  <si>
    <t>WI-049</t>
  </si>
  <si>
    <t>EVITA HSM Driver Integration</t>
  </si>
  <si>
    <t>WI-050</t>
  </si>
  <si>
    <t>IDS Configuration</t>
  </si>
  <si>
    <t>WI-056</t>
  </si>
  <si>
    <t>OTA Backend API Integration Prototype</t>
  </si>
  <si>
    <t>WI-051</t>
  </si>
  <si>
    <t>Spike: Adaptive AUTOSAR vs Classic for OTA Path</t>
  </si>
  <si>
    <t>WI-052</t>
  </si>
  <si>
    <t>Sprint 5 DoD Review</t>
  </si>
  <si>
    <t>WI-053</t>
  </si>
  <si>
    <t>OTA Session Manager Implementation</t>
  </si>
  <si>
    <t>WI-054</t>
  </si>
  <si>
    <t>Firmware Delta Packaging Tool</t>
  </si>
  <si>
    <t>WI-055</t>
  </si>
  <si>
    <t>OTA Rollback &amp; Recovery Logic</t>
  </si>
  <si>
    <t>WI-057</t>
  </si>
  <si>
    <t>Manifest Validation &amp; Signature Verification</t>
  </si>
  <si>
    <t>WI-058</t>
  </si>
  <si>
    <t>OTA Progress Reporting to Fleet Backend</t>
  </si>
  <si>
    <t>WI-059</t>
  </si>
  <si>
    <t>Spike: Delta Compression Algorithm Evaluation</t>
  </si>
  <si>
    <t>WI-060</t>
  </si>
  <si>
    <t>Sprint 6 DoD Review</t>
  </si>
  <si>
    <t>WI-061</t>
  </si>
  <si>
    <t>End-to-End HIL Bench Integration Test</t>
  </si>
  <si>
    <t>WI-062</t>
  </si>
  <si>
    <t>Gateway Routing End-to-End Validation</t>
  </si>
  <si>
    <t>WI-063</t>
  </si>
  <si>
    <t>CAN + UDS + OTA Regression Test Suite</t>
  </si>
  <si>
    <t>WI-064</t>
  </si>
  <si>
    <t>Vehicle Telemetry Signal Validation on Target</t>
  </si>
  <si>
    <t>WI-065</t>
  </si>
  <si>
    <t>HIL OTA Update Cycle Validation</t>
  </si>
  <si>
    <t>WI-066</t>
  </si>
  <si>
    <t>Sprint 7 DoD Review</t>
  </si>
  <si>
    <t>WI-067</t>
  </si>
  <si>
    <t>Final MISRA C:2012 Compliance Review &amp; Waivers</t>
  </si>
  <si>
    <t>WI-068</t>
  </si>
  <si>
    <t>ASPICE L2 Audit Documentation Package</t>
  </si>
  <si>
    <t>WI-069</t>
  </si>
  <si>
    <t>FOTA End-to-End System Validation</t>
  </si>
  <si>
    <t>WI-070</t>
  </si>
  <si>
    <t>Customer Sign-Off Demo – Daimler Truck</t>
  </si>
  <si>
    <t>WI-071</t>
  </si>
  <si>
    <t>Release Notes &amp; Configuration Baseline Lock</t>
  </si>
  <si>
    <t>WI-072</t>
  </si>
  <si>
    <t>Sprint 8 DoD Review &amp; Project Retrospective</t>
  </si>
  <si>
    <t>TOTALS</t>
  </si>
  <si>
    <t>TIO2 – DEPENDENCY REGISTER  (Critical Path &amp; Lag Analysis)</t>
  </si>
  <si>
    <t>Dep ID</t>
  </si>
  <si>
    <t>Predecessor Task</t>
  </si>
  <si>
    <t>Successor Task</t>
  </si>
  <si>
    <t>Dependency Type</t>
  </si>
  <si>
    <t>Lag Days</t>
  </si>
  <si>
    <t>DEP-001</t>
  </si>
  <si>
    <t>Finish-To-Start</t>
  </si>
  <si>
    <t>DEP-002</t>
  </si>
  <si>
    <t>DEP-003</t>
  </si>
  <si>
    <t>DEP-004</t>
  </si>
  <si>
    <t>DEP-005</t>
  </si>
  <si>
    <t>DEP-006</t>
  </si>
  <si>
    <t>DEP-007</t>
  </si>
  <si>
    <t>DEP-008</t>
  </si>
  <si>
    <t>DEP-009</t>
  </si>
  <si>
    <t>DEP-010</t>
  </si>
  <si>
    <t>DEP-011</t>
  </si>
  <si>
    <t>DEP-012</t>
  </si>
  <si>
    <t>DEP-013</t>
  </si>
  <si>
    <t>DEP-014</t>
  </si>
  <si>
    <t>DEP-015</t>
  </si>
  <si>
    <t>DEP-016</t>
  </si>
  <si>
    <t>DEP-017</t>
  </si>
  <si>
    <t>DEP-018</t>
  </si>
  <si>
    <t>DEP-019</t>
  </si>
  <si>
    <t>DEP-020</t>
  </si>
  <si>
    <t>DEP-021</t>
  </si>
  <si>
    <t>DEP-022</t>
  </si>
  <si>
    <t>DEP-023</t>
  </si>
  <si>
    <t>TIO2 – BLOCKER REGISTER</t>
  </si>
  <si>
    <t>Blocker ID</t>
  </si>
  <si>
    <t>Related Task</t>
  </si>
  <si>
    <t>Impacted Task IDs</t>
  </si>
  <si>
    <t>Severity</t>
  </si>
  <si>
    <t>Raised Date</t>
  </si>
  <si>
    <t>Target Resolution</t>
  </si>
  <si>
    <t>Actual Resolution</t>
  </si>
  <si>
    <t>Category</t>
  </si>
  <si>
    <t>Sprint Identified</t>
  </si>
  <si>
    <t>Notes</t>
  </si>
  <si>
    <t>BLK-001</t>
  </si>
  <si>
    <t>WI-022, WI-027, WI-040</t>
  </si>
  <si>
    <t>Critical</t>
  </si>
  <si>
    <t>Resolved</t>
  </si>
  <si>
    <t>2026-05-28</t>
  </si>
  <si>
    <t>2026-05-29</t>
  </si>
  <si>
    <t>External Team Dependency</t>
  </si>
  <si>
    <t>OEM spec for UDS 0x19 arrived late; forced partial rework on DTC read services. Resolved after OEM clarification.</t>
  </si>
  <si>
    <t>BLK-002</t>
  </si>
  <si>
    <t>WI-015, WI-017, WI-026</t>
  </si>
  <si>
    <t>2026-05-14</t>
  </si>
  <si>
    <t>2026-05-13</t>
  </si>
  <si>
    <t>Tool Issue</t>
  </si>
  <si>
    <t>CANoe license server outage blocked CAN automated tests. Vendor issued temp license to unblock.</t>
  </si>
  <si>
    <t>BLK-003</t>
  </si>
  <si>
    <t>WI-039, WI-040, WI-041</t>
  </si>
  <si>
    <t>2026-06-10</t>
  </si>
  <si>
    <t>Lab Issue</t>
  </si>
  <si>
    <t>HIL bench hardware unavailable due to lab procurement delay. WI-039/040/041 rescheduled to S5.</t>
  </si>
  <si>
    <t>BLK-004</t>
  </si>
  <si>
    <t>WI-056, WI-058, WI-041</t>
  </si>
  <si>
    <t>Open</t>
  </si>
  <si>
    <t>2026-06-25</t>
  </si>
  <si>
    <t>Daimler API credentials for backend OTA integration not provisioned. Blocking WI-056/058. Open.</t>
  </si>
  <si>
    <t>BLK-005</t>
  </si>
  <si>
    <t>WI-048, WI-052</t>
  </si>
  <si>
    <t>2026-06-22</t>
  </si>
  <si>
    <t>2026-06-21</t>
  </si>
  <si>
    <t>Cybersecurity toolchain (HSM simulator) misconfigured; blocked WI-048 attack surface tests. Fixed by tool team.</t>
  </si>
  <si>
    <t>TIO2 – REFERENCE LISTS  (Data Validation Sources)</t>
  </si>
  <si>
    <t>ProjectStatus</t>
  </si>
  <si>
    <t>SprintStatus</t>
  </si>
  <si>
    <t>WorkItemType</t>
  </si>
  <si>
    <t>WorkItemStatus</t>
  </si>
  <si>
    <t>YesNo</t>
  </si>
  <si>
    <t>ScopeReason</t>
  </si>
  <si>
    <t>DependencyType</t>
  </si>
  <si>
    <t>BlockerStatus</t>
  </si>
  <si>
    <t>BlockerCategory</t>
  </si>
  <si>
    <t>Owners</t>
  </si>
  <si>
    <t>Skills</t>
  </si>
  <si>
    <t>Sprints</t>
  </si>
  <si>
    <t>SkillCategory</t>
  </si>
  <si>
    <t>Architecture</t>
  </si>
  <si>
    <t>On Hold</t>
  </si>
  <si>
    <t>Start-To-Start</t>
  </si>
  <si>
    <t>Hardware / Procurement</t>
  </si>
  <si>
    <t>Development</t>
  </si>
  <si>
    <t>Finish-To-Finish</t>
  </si>
  <si>
    <t>Integration</t>
  </si>
  <si>
    <t>Cancelled</t>
  </si>
  <si>
    <t>Blocked</t>
  </si>
  <si>
    <t>Closed</t>
  </si>
  <si>
    <t>Testing</t>
  </si>
  <si>
    <t>Deferred</t>
  </si>
  <si>
    <t>People</t>
  </si>
  <si>
    <t>Security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</si>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</sst>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i/>
      <sz val="9"/>
      <color rgb="FFBF8F00"/>
      <name val="Arial"/>
      <charset val="1"/>
    </font>
    <font>
      <i/>
      <sz val="9"/>
      <color rgb="FF1F3864"/>
      <name val="Arial"/>
      <charset val="1"/>
    </font>
    <font>
      <u/>
      <sz val="11"/>
      <color rgb="FF0563C1"/>
      <name val="Cambria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/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3" fillId="0" borderId="0" xfId="0" applyNumberFormat="1" applyFont="1" applyAlignment="1">
      <alignment horizontal="left" vertical="center" wrapText="1"/>
    </xf>
    <xf numFmtId="0" fontId="8" fillId="0" borderId="0" xfId="0" applyFont="1"/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Normal="100" workbookViewId="0">
      <pane ySplit="2" topLeftCell="A3" activePane="bottomLeft" state="frozen"/>
      <selection pane="bottomLeft" activeCell="A17" sqref="A17"/>
    </sheetView>
  </sheetViews>
  <sheetFormatPr defaultColWidth="8.6640625" defaultRowHeight="14.4" x14ac:dyDescent="0.3"/>
  <cols>
    <col min="1" max="1" width="50" customWidth="1"/>
    <col min="2" max="2" width="60" customWidth="1"/>
    <col min="3" max="3" width="21" customWidth="1"/>
    <col min="4" max="4" width="17" customWidth="1"/>
    <col min="5" max="5" width="12" customWidth="1"/>
    <col min="6" max="6" width="17" customWidth="1"/>
    <col min="7" max="7" width="22" customWidth="1"/>
    <col min="8" max="8" width="13" customWidth="1"/>
    <col min="9" max="9" width="15" customWidth="1"/>
    <col min="10" max="10" width="12" customWidth="1"/>
  </cols>
  <sheetData>
    <row r="1" spans="1:10" ht="27.7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7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4.25" customHeight="1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>
        <v>14</v>
      </c>
      <c r="H3" s="4" t="s">
        <v>17</v>
      </c>
      <c r="I3" s="4" t="s">
        <v>18</v>
      </c>
      <c r="J3" s="4" t="s">
        <v>19</v>
      </c>
    </row>
    <row r="5" spans="1:10" ht="14.25" customHeight="1" x14ac:dyDescent="0.3">
      <c r="A5" s="1" t="s">
        <v>20</v>
      </c>
      <c r="B5" s="1"/>
    </row>
    <row r="6" spans="1:10" ht="14.25" customHeight="1" x14ac:dyDescent="0.3">
      <c r="A6" s="5" t="s">
        <v>21</v>
      </c>
      <c r="B6" s="6">
        <v>8</v>
      </c>
    </row>
    <row r="7" spans="1:10" ht="14.25" customHeight="1" x14ac:dyDescent="0.3">
      <c r="A7" s="5" t="s">
        <v>22</v>
      </c>
      <c r="B7" s="6">
        <v>14</v>
      </c>
    </row>
    <row r="8" spans="1:10" ht="14.25" customHeight="1" x14ac:dyDescent="0.3">
      <c r="A8" s="5" t="s">
        <v>23</v>
      </c>
      <c r="B8" s="6" t="s">
        <v>24</v>
      </c>
    </row>
    <row r="9" spans="1:10" ht="14.25" customHeight="1" x14ac:dyDescent="0.3">
      <c r="A9" s="5" t="s">
        <v>25</v>
      </c>
      <c r="B9" s="6">
        <v>6</v>
      </c>
    </row>
    <row r="10" spans="1:10" ht="14.25" customHeight="1" x14ac:dyDescent="0.3">
      <c r="A10" s="5" t="s">
        <v>26</v>
      </c>
      <c r="B10" s="6">
        <v>5</v>
      </c>
    </row>
    <row r="11" spans="1:10" ht="14.25" customHeight="1" x14ac:dyDescent="0.3">
      <c r="A11" s="5" t="s">
        <v>27</v>
      </c>
      <c r="B11" s="6">
        <v>2</v>
      </c>
    </row>
    <row r="12" spans="1:10" ht="14.25" customHeight="1" x14ac:dyDescent="0.3">
      <c r="A12" s="5" t="s">
        <v>28</v>
      </c>
      <c r="B12" s="6">
        <v>9</v>
      </c>
    </row>
    <row r="13" spans="1:10" ht="14.25" customHeight="1" x14ac:dyDescent="0.3">
      <c r="A13" s="5" t="s">
        <v>29</v>
      </c>
      <c r="B13" s="6" t="s">
        <v>30</v>
      </c>
    </row>
    <row r="14" spans="1:10" ht="14.25" customHeight="1" x14ac:dyDescent="0.3">
      <c r="A14" s="5" t="s">
        <v>31</v>
      </c>
      <c r="B14" s="6" t="s">
        <v>32</v>
      </c>
    </row>
    <row r="15" spans="1:10" ht="14.25" customHeight="1" x14ac:dyDescent="0.3">
      <c r="A15" s="5" t="s">
        <v>33</v>
      </c>
      <c r="B15" s="6" t="s">
        <v>34</v>
      </c>
    </row>
  </sheetData>
  <mergeCells count="2">
    <mergeCell ref="A1:J1"/>
    <mergeCell ref="A5:B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Please select a value from the Project Status list" promptTitle="Project Status" prompt="Choose the current project status" xr:uid="{00000000-0002-0000-0000-000000000000}">
          <x14:formula1>
            <xm:f>Lists!$A$3:$A$6</xm:f>
          </x14:formula1>
          <x14:formula2>
            <xm:f>0</xm:f>
          </x14:formula2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zoomScaleNormal="100" workbookViewId="0">
      <pane ySplit="2" topLeftCell="A3" activePane="bottomLeft" state="frozen"/>
      <selection pane="bottomLeft" activeCell="D3" sqref="D3"/>
    </sheetView>
  </sheetViews>
  <sheetFormatPr defaultColWidth="8.6640625" defaultRowHeight="14.4" x14ac:dyDescent="0.3"/>
  <cols>
    <col min="1" max="1" width="34.6640625" customWidth="1"/>
    <col min="2" max="2" width="37" customWidth="1"/>
    <col min="3" max="3" width="35" customWidth="1"/>
    <col min="4" max="4" width="17" customWidth="1"/>
    <col min="5" max="5" width="34" customWidth="1"/>
    <col min="6" max="6" width="17" customWidth="1"/>
    <col min="7" max="7" width="25" customWidth="1"/>
    <col min="8" max="8" width="17" customWidth="1"/>
    <col min="9" max="9" width="14" customWidth="1"/>
    <col min="10" max="10" width="16" customWidth="1"/>
    <col min="11" max="26" width="11" customWidth="1"/>
  </cols>
  <sheetData>
    <row r="1" spans="1:24" ht="27.75" customHeight="1" x14ac:dyDescent="0.3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6.25" customHeight="1" x14ac:dyDescent="0.3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</row>
    <row r="3" spans="1:24" s="9" customFormat="1" ht="14.25" customHeight="1" x14ac:dyDescent="0.3">
      <c r="A3" s="7" t="s">
        <v>60</v>
      </c>
      <c r="B3" s="7" t="s">
        <v>61</v>
      </c>
      <c r="C3" s="7" t="s">
        <v>62</v>
      </c>
      <c r="D3" s="7" t="s">
        <v>63</v>
      </c>
      <c r="E3" s="7" t="s">
        <v>64</v>
      </c>
      <c r="F3" s="7" t="s">
        <v>65</v>
      </c>
      <c r="G3" s="7" t="s">
        <v>66</v>
      </c>
      <c r="H3" s="7" t="s">
        <v>65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/>
      <c r="U3" s="8">
        <v>1</v>
      </c>
      <c r="V3" s="8"/>
      <c r="W3" s="8">
        <v>1</v>
      </c>
      <c r="X3" s="8"/>
    </row>
    <row r="4" spans="1:24" s="9" customFormat="1" ht="14.25" customHeight="1" x14ac:dyDescent="0.3">
      <c r="A4" s="7" t="s">
        <v>67</v>
      </c>
      <c r="B4" s="7" t="s">
        <v>68</v>
      </c>
      <c r="C4" s="7" t="s">
        <v>69</v>
      </c>
      <c r="D4" s="7" t="s">
        <v>63</v>
      </c>
      <c r="E4" s="7" t="s">
        <v>70</v>
      </c>
      <c r="F4" s="7" t="s">
        <v>65</v>
      </c>
      <c r="G4" s="7" t="s">
        <v>71</v>
      </c>
      <c r="H4" s="7" t="s">
        <v>72</v>
      </c>
      <c r="I4" s="8">
        <v>0.8</v>
      </c>
      <c r="J4" s="8">
        <v>1</v>
      </c>
      <c r="K4" s="8">
        <v>0.8</v>
      </c>
      <c r="L4" s="8">
        <v>1</v>
      </c>
      <c r="M4" s="8">
        <v>0.8</v>
      </c>
      <c r="N4" s="8">
        <v>1</v>
      </c>
      <c r="O4" s="8">
        <v>0.8</v>
      </c>
      <c r="P4" s="8">
        <v>1</v>
      </c>
      <c r="Q4" s="8">
        <v>0.8</v>
      </c>
      <c r="R4" s="8">
        <v>1</v>
      </c>
      <c r="S4" s="8">
        <v>0.8</v>
      </c>
      <c r="T4" s="8"/>
      <c r="U4" s="8">
        <v>0.8</v>
      </c>
      <c r="V4" s="8"/>
      <c r="W4" s="8">
        <v>0.8</v>
      </c>
      <c r="X4" s="8"/>
    </row>
    <row r="5" spans="1:24" s="9" customFormat="1" ht="14.25" customHeight="1" x14ac:dyDescent="0.3">
      <c r="A5" s="7" t="s">
        <v>73</v>
      </c>
      <c r="B5" s="7" t="s">
        <v>74</v>
      </c>
      <c r="C5" s="7" t="s">
        <v>75</v>
      </c>
      <c r="D5" s="7" t="s">
        <v>63</v>
      </c>
      <c r="E5" s="7" t="s">
        <v>76</v>
      </c>
      <c r="F5" s="7" t="s">
        <v>65</v>
      </c>
      <c r="G5" s="7" t="s">
        <v>77</v>
      </c>
      <c r="H5" s="7" t="s">
        <v>72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0.8</v>
      </c>
      <c r="O5" s="8">
        <v>1</v>
      </c>
      <c r="P5" s="8">
        <v>0.8</v>
      </c>
      <c r="Q5" s="8">
        <v>1</v>
      </c>
      <c r="R5" s="8">
        <v>1</v>
      </c>
      <c r="S5" s="8">
        <v>1</v>
      </c>
      <c r="T5" s="8"/>
      <c r="U5" s="8">
        <v>1</v>
      </c>
      <c r="V5" s="8"/>
      <c r="W5" s="8">
        <v>1</v>
      </c>
      <c r="X5" s="8"/>
    </row>
    <row r="6" spans="1:24" s="9" customFormat="1" ht="14.25" customHeight="1" x14ac:dyDescent="0.3">
      <c r="A6" s="7" t="s">
        <v>78</v>
      </c>
      <c r="B6" s="7" t="s">
        <v>79</v>
      </c>
      <c r="C6" s="7" t="s">
        <v>80</v>
      </c>
      <c r="D6" s="7" t="s">
        <v>63</v>
      </c>
      <c r="E6" s="7" t="s">
        <v>81</v>
      </c>
      <c r="F6" s="7" t="s">
        <v>65</v>
      </c>
      <c r="G6" s="7" t="s">
        <v>82</v>
      </c>
      <c r="H6" s="7" t="s">
        <v>65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/>
      <c r="U6" s="8">
        <v>1</v>
      </c>
      <c r="V6" s="8"/>
      <c r="W6" s="8">
        <v>1</v>
      </c>
      <c r="X6" s="8"/>
    </row>
    <row r="7" spans="1:24" s="9" customFormat="1" ht="14.25" customHeight="1" x14ac:dyDescent="0.3">
      <c r="A7" s="7" t="s">
        <v>83</v>
      </c>
      <c r="B7" s="7" t="s">
        <v>84</v>
      </c>
      <c r="C7" s="7" t="s">
        <v>85</v>
      </c>
      <c r="D7" s="7" t="s">
        <v>65</v>
      </c>
      <c r="E7" s="7" t="s">
        <v>86</v>
      </c>
      <c r="F7" s="7" t="s">
        <v>65</v>
      </c>
      <c r="G7" s="7" t="s">
        <v>87</v>
      </c>
      <c r="H7" s="7" t="s">
        <v>72</v>
      </c>
      <c r="I7" s="8">
        <v>0.7</v>
      </c>
      <c r="J7" s="8">
        <v>1</v>
      </c>
      <c r="K7" s="8">
        <v>0.7</v>
      </c>
      <c r="L7" s="8">
        <v>1</v>
      </c>
      <c r="M7" s="8">
        <v>0.5</v>
      </c>
      <c r="N7" s="8">
        <v>1</v>
      </c>
      <c r="O7" s="8">
        <v>0.7</v>
      </c>
      <c r="P7" s="8">
        <v>1</v>
      </c>
      <c r="Q7" s="8">
        <v>0.7</v>
      </c>
      <c r="R7" s="8">
        <v>0.7</v>
      </c>
      <c r="S7" s="8">
        <v>0.7</v>
      </c>
      <c r="T7" s="8"/>
      <c r="U7" s="8">
        <v>0.7</v>
      </c>
      <c r="V7" s="8"/>
      <c r="W7" s="8">
        <v>0.7</v>
      </c>
      <c r="X7" s="8"/>
    </row>
    <row r="8" spans="1:24" s="9" customFormat="1" ht="14.25" customHeight="1" x14ac:dyDescent="0.3">
      <c r="A8" s="7" t="s">
        <v>88</v>
      </c>
      <c r="B8" s="7" t="s">
        <v>89</v>
      </c>
      <c r="C8" s="7" t="s">
        <v>90</v>
      </c>
      <c r="D8" s="7" t="s">
        <v>65</v>
      </c>
      <c r="E8" s="7" t="s">
        <v>91</v>
      </c>
      <c r="F8" s="7" t="s">
        <v>65</v>
      </c>
      <c r="G8" s="7" t="s">
        <v>92</v>
      </c>
      <c r="H8" s="7" t="s">
        <v>72</v>
      </c>
      <c r="I8" s="8">
        <v>0.8</v>
      </c>
      <c r="J8" s="8">
        <v>0.8</v>
      </c>
      <c r="K8" s="8">
        <v>0.8</v>
      </c>
      <c r="L8" s="8">
        <v>0.8</v>
      </c>
      <c r="M8" s="8">
        <v>0.8</v>
      </c>
      <c r="N8" s="8">
        <v>0.8</v>
      </c>
      <c r="O8" s="8">
        <v>0.8</v>
      </c>
      <c r="P8" s="8">
        <v>0.8</v>
      </c>
      <c r="Q8" s="8">
        <v>0.8</v>
      </c>
      <c r="R8" s="8">
        <v>0.4</v>
      </c>
      <c r="S8" s="8">
        <v>0.8</v>
      </c>
      <c r="T8" s="8"/>
      <c r="U8" s="8">
        <v>0.8</v>
      </c>
      <c r="V8" s="8"/>
      <c r="W8" s="8">
        <v>0.8</v>
      </c>
      <c r="X8" s="8"/>
    </row>
    <row r="9" spans="1:24" s="9" customFormat="1" ht="14.25" customHeight="1" x14ac:dyDescent="0.3">
      <c r="A9" s="7" t="s">
        <v>93</v>
      </c>
      <c r="B9" s="7" t="s">
        <v>94</v>
      </c>
      <c r="C9" s="7" t="s">
        <v>95</v>
      </c>
      <c r="D9" s="7" t="s">
        <v>63</v>
      </c>
      <c r="E9" s="7" t="s">
        <v>96</v>
      </c>
      <c r="F9" s="7" t="s">
        <v>65</v>
      </c>
      <c r="G9" s="7" t="s">
        <v>97</v>
      </c>
      <c r="H9" s="7" t="s">
        <v>65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1</v>
      </c>
      <c r="S9" s="8">
        <v>1</v>
      </c>
      <c r="T9" s="8"/>
      <c r="U9" s="8">
        <v>1</v>
      </c>
      <c r="V9" s="8"/>
      <c r="W9" s="8">
        <v>1</v>
      </c>
      <c r="X9" s="8"/>
    </row>
    <row r="10" spans="1:24" s="9" customFormat="1" ht="14.25" customHeight="1" x14ac:dyDescent="0.3">
      <c r="A10" s="7" t="s">
        <v>98</v>
      </c>
      <c r="B10" s="7" t="s">
        <v>99</v>
      </c>
      <c r="C10" s="7" t="s">
        <v>100</v>
      </c>
      <c r="D10" s="7" t="s">
        <v>65</v>
      </c>
      <c r="E10" s="7" t="s">
        <v>101</v>
      </c>
      <c r="F10" s="7" t="s">
        <v>72</v>
      </c>
      <c r="G10" s="7" t="s">
        <v>102</v>
      </c>
      <c r="H10" s="7" t="s">
        <v>103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/>
      <c r="U10" s="8">
        <v>1</v>
      </c>
      <c r="V10" s="8"/>
      <c r="W10" s="8">
        <v>1</v>
      </c>
      <c r="X10" s="8"/>
    </row>
    <row r="11" spans="1:24" s="9" customFormat="1" ht="14.25" customHeight="1" x14ac:dyDescent="0.3">
      <c r="A11" s="7" t="s">
        <v>104</v>
      </c>
      <c r="B11" s="7" t="s">
        <v>105</v>
      </c>
      <c r="C11" s="7" t="s">
        <v>86</v>
      </c>
      <c r="D11" s="7" t="s">
        <v>72</v>
      </c>
      <c r="E11" s="7" t="s">
        <v>85</v>
      </c>
      <c r="F11" s="7" t="s">
        <v>103</v>
      </c>
      <c r="G11" s="7" t="s">
        <v>87</v>
      </c>
      <c r="H11" s="7" t="s">
        <v>103</v>
      </c>
      <c r="I11" s="8">
        <v>0</v>
      </c>
      <c r="J11" s="8">
        <v>0</v>
      </c>
      <c r="K11" s="8">
        <v>0</v>
      </c>
      <c r="L11" s="8">
        <v>0</v>
      </c>
      <c r="M11" s="8">
        <v>1</v>
      </c>
      <c r="N11" s="8">
        <v>1</v>
      </c>
      <c r="O11" s="8">
        <v>1</v>
      </c>
      <c r="P11" s="8">
        <v>1</v>
      </c>
      <c r="Q11" s="8">
        <v>1</v>
      </c>
      <c r="R11" s="8">
        <v>1</v>
      </c>
      <c r="S11" s="8">
        <v>1</v>
      </c>
      <c r="T11" s="8"/>
      <c r="U11" s="8">
        <v>1</v>
      </c>
      <c r="V11" s="8"/>
      <c r="W11" s="8">
        <v>1</v>
      </c>
      <c r="X11" s="8"/>
    </row>
    <row r="13" spans="1:24" ht="14.25" customHeight="1" x14ac:dyDescent="0.3">
      <c r="A13" s="10" t="s">
        <v>106</v>
      </c>
    </row>
    <row r="14" spans="1:24" ht="14.25" customHeight="1" x14ac:dyDescent="0.3">
      <c r="A14" s="11"/>
    </row>
    <row r="15" spans="1:24" ht="14.25" customHeight="1" x14ac:dyDescent="0.3">
      <c r="A15" s="12"/>
    </row>
  </sheetData>
  <mergeCells count="1">
    <mergeCell ref="A1:X1"/>
  </mergeCells>
  <dataValidations count="1">
    <dataValidation type="list" allowBlank="1" sqref="D3:D11 F3:F11 H3:H11" xr:uid="{00000000-0002-0000-0100-000000000000}">
      <formula1>"L1-Expert,L2-Advanced,L3-Intermediate,L4-Beginner"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Please select a value from the Skill list" promptTitle="Skill" prompt="Choose a skill" xr:uid="{00000000-0002-0000-0100-000001000000}">
          <x14:formula1>
            <xm:f>Lists!$M$3:$M$26</xm:f>
          </x14:formula1>
          <x14:formula2>
            <xm:f>0</xm:f>
          </x14:formula2>
          <xm:sqref>C3:C11 G3:G11 E3:E11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zoomScaleNormal="100" workbookViewId="0">
      <pane ySplit="2" topLeftCell="A3" activePane="bottomLeft" state="frozen"/>
      <selection pane="bottomLeft" activeCell="G3" sqref="G3"/>
    </sheetView>
  </sheetViews>
  <sheetFormatPr defaultColWidth="8.6640625" defaultRowHeight="14.4" x14ac:dyDescent="0.3"/>
  <cols>
    <col min="1" max="1" width="23.44140625" customWidth="1"/>
    <col min="2" max="2" width="22.44140625" customWidth="1"/>
    <col min="3" max="3" width="12" customWidth="1"/>
    <col min="4" max="4" width="17" customWidth="1"/>
    <col min="5" max="5" width="60" customWidth="1"/>
    <col min="6" max="6" width="13" customWidth="1"/>
    <col min="7" max="7" width="23.88671875" customWidth="1"/>
    <col min="8" max="8" width="22.6640625" customWidth="1"/>
  </cols>
  <sheetData>
    <row r="1" spans="1:8" ht="27.75" customHeight="1" x14ac:dyDescent="0.3">
      <c r="A1" s="2" t="s">
        <v>107</v>
      </c>
      <c r="B1" s="2"/>
      <c r="C1" s="2"/>
      <c r="D1" s="2"/>
      <c r="E1" s="2"/>
      <c r="F1" s="2"/>
      <c r="G1" s="2"/>
      <c r="H1" s="2"/>
    </row>
    <row r="2" spans="1:8" ht="14.25" customHeight="1" x14ac:dyDescent="0.3">
      <c r="A2" s="3" t="s">
        <v>108</v>
      </c>
      <c r="B2" s="3" t="s">
        <v>5</v>
      </c>
      <c r="C2" s="3" t="s">
        <v>109</v>
      </c>
      <c r="D2" s="3" t="s">
        <v>110</v>
      </c>
      <c r="E2" s="3" t="s">
        <v>111</v>
      </c>
      <c r="F2" s="3" t="s">
        <v>10</v>
      </c>
      <c r="G2" s="3" t="s">
        <v>112</v>
      </c>
      <c r="H2" s="3" t="s">
        <v>113</v>
      </c>
    </row>
    <row r="3" spans="1:8" ht="39" customHeight="1" x14ac:dyDescent="0.3">
      <c r="A3" s="4" t="s">
        <v>114</v>
      </c>
      <c r="B3" s="4" t="s">
        <v>15</v>
      </c>
      <c r="C3" s="4" t="s">
        <v>115</v>
      </c>
      <c r="D3" s="4">
        <v>14</v>
      </c>
      <c r="E3" s="4" t="s">
        <v>116</v>
      </c>
      <c r="F3" s="4" t="s">
        <v>117</v>
      </c>
      <c r="G3" s="4">
        <f>SUMIF(Work_Items!$D$3:$D$72,$A3,Work_Items!$K$3:$K$72)</f>
        <v>253</v>
      </c>
      <c r="H3" s="4">
        <f>COUNTIF(Work_Items!$E$3:$E$72,$A3)-COUNTIFS(Work_Items!$E$3:$E$72,$A3,Work_Items!$D$3:$D$72,$A3,Work_Items!$N$3:$N$72,"Completed")</f>
        <v>1</v>
      </c>
    </row>
    <row r="4" spans="1:8" ht="39" customHeight="1" x14ac:dyDescent="0.3">
      <c r="A4" s="4" t="s">
        <v>118</v>
      </c>
      <c r="B4" s="4" t="s">
        <v>119</v>
      </c>
      <c r="C4" s="4" t="s">
        <v>120</v>
      </c>
      <c r="D4" s="4">
        <v>14</v>
      </c>
      <c r="E4" s="4" t="s">
        <v>121</v>
      </c>
      <c r="F4" s="4" t="s">
        <v>117</v>
      </c>
      <c r="G4" s="4">
        <f>SUMIF(Work_Items!$D$3:$D$72,$A4,Work_Items!$K$3:$K$72)</f>
        <v>229</v>
      </c>
      <c r="H4" s="4">
        <f>COUNTIF(Work_Items!$E$3:$E$72,$A4)-COUNTIFS(Work_Items!$E$3:$E$72,$A4,Work_Items!$D$3:$D$72,$A4,Work_Items!$N$3:$N$72,"Completed")</f>
        <v>1</v>
      </c>
    </row>
    <row r="5" spans="1:8" ht="39" customHeight="1" x14ac:dyDescent="0.3">
      <c r="A5" s="4" t="s">
        <v>122</v>
      </c>
      <c r="B5" s="4" t="s">
        <v>123</v>
      </c>
      <c r="C5" s="4" t="s">
        <v>124</v>
      </c>
      <c r="D5" s="4">
        <v>14</v>
      </c>
      <c r="E5" s="4" t="s">
        <v>125</v>
      </c>
      <c r="F5" s="4" t="s">
        <v>117</v>
      </c>
      <c r="G5" s="4">
        <f>SUMIF(Work_Items!$D$3:$D$72,$A5,Work_Items!$K$3:$K$72)</f>
        <v>271</v>
      </c>
      <c r="H5" s="4">
        <f>COUNTIF(Work_Items!$E$3:$E$72,$A5)-COUNTIFS(Work_Items!$E$3:$E$72,$A5,Work_Items!$D$3:$D$72,$A5,Work_Items!$N$3:$N$72,"Completed")</f>
        <v>1</v>
      </c>
    </row>
    <row r="6" spans="1:8" ht="39" customHeight="1" x14ac:dyDescent="0.3">
      <c r="A6" s="4" t="s">
        <v>126</v>
      </c>
      <c r="B6" s="4" t="s">
        <v>127</v>
      </c>
      <c r="C6" s="4" t="s">
        <v>128</v>
      </c>
      <c r="D6" s="4">
        <v>14</v>
      </c>
      <c r="E6" s="4" t="s">
        <v>129</v>
      </c>
      <c r="F6" s="4" t="s">
        <v>117</v>
      </c>
      <c r="G6" s="4">
        <f>SUMIF(Work_Items!$D$3:$D$72,$A6,Work_Items!$K$3:$K$72)</f>
        <v>256</v>
      </c>
      <c r="H6" s="4">
        <f>COUNTIF(Work_Items!$E$3:$E$72,$A6)-COUNTIFS(Work_Items!$E$3:$E$72,$A6,Work_Items!$D$3:$D$72,$A6,Work_Items!$N$3:$N$72,"Completed")</f>
        <v>3</v>
      </c>
    </row>
    <row r="7" spans="1:8" ht="39" customHeight="1" x14ac:dyDescent="0.3">
      <c r="A7" s="4" t="s">
        <v>130</v>
      </c>
      <c r="B7" s="4" t="s">
        <v>131</v>
      </c>
      <c r="C7" s="4" t="s">
        <v>132</v>
      </c>
      <c r="D7" s="4">
        <v>14</v>
      </c>
      <c r="E7" s="4" t="s">
        <v>133</v>
      </c>
      <c r="F7" s="4" t="s">
        <v>117</v>
      </c>
      <c r="G7" s="4">
        <f>SUMIF(Work_Items!$D$3:$D$72,$A7,Work_Items!$K$3:$K$72)</f>
        <v>347</v>
      </c>
      <c r="H7" s="4">
        <f>COUNTIF(Work_Items!$E$3:$E$72,$A7)-COUNTIFS(Work_Items!$E$3:$E$72,$A7,Work_Items!$D$3:$D$72,$A7,Work_Items!$N$3:$N$72,"Completed")</f>
        <v>2</v>
      </c>
    </row>
    <row r="8" spans="1:8" ht="39" customHeight="1" x14ac:dyDescent="0.3">
      <c r="A8" s="4" t="s">
        <v>134</v>
      </c>
      <c r="B8" s="4" t="s">
        <v>135</v>
      </c>
      <c r="C8" s="4" t="s">
        <v>136</v>
      </c>
      <c r="D8" s="4">
        <v>14</v>
      </c>
      <c r="E8" s="4" t="s">
        <v>137</v>
      </c>
      <c r="F8" s="4" t="s">
        <v>138</v>
      </c>
      <c r="G8" s="4">
        <f>SUMIF(Work_Items!$D$3:$D$72,$A8,Work_Items!$K$3:$K$72)</f>
        <v>0</v>
      </c>
      <c r="H8" s="4">
        <v>0</v>
      </c>
    </row>
    <row r="9" spans="1:8" ht="26.25" customHeight="1" x14ac:dyDescent="0.3">
      <c r="A9" s="4" t="s">
        <v>139</v>
      </c>
      <c r="B9" s="4" t="s">
        <v>140</v>
      </c>
      <c r="C9" s="4" t="s">
        <v>141</v>
      </c>
      <c r="D9" s="4">
        <v>14</v>
      </c>
      <c r="E9" s="4" t="s">
        <v>142</v>
      </c>
      <c r="F9" s="4" t="s">
        <v>143</v>
      </c>
      <c r="G9" s="4">
        <f>SUMIF(Work_Items!$D$3:$D$72,$A9,Work_Items!$K$3:$K$72)</f>
        <v>0</v>
      </c>
      <c r="H9" s="4">
        <v>0</v>
      </c>
    </row>
    <row r="10" spans="1:8" ht="26.25" customHeight="1" x14ac:dyDescent="0.3">
      <c r="A10" s="4" t="s">
        <v>144</v>
      </c>
      <c r="B10" s="4" t="s">
        <v>145</v>
      </c>
      <c r="C10" s="4" t="s">
        <v>16</v>
      </c>
      <c r="D10" s="4">
        <v>14</v>
      </c>
      <c r="E10" s="4" t="s">
        <v>146</v>
      </c>
      <c r="F10" s="4" t="s">
        <v>143</v>
      </c>
      <c r="G10" s="4">
        <f>SUMIF(Work_Items!$D$3:$D$72,$A10,Work_Items!$K$3:$K$72)</f>
        <v>0</v>
      </c>
      <c r="H10" s="4">
        <v>0</v>
      </c>
    </row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Please select a value from the Sprint Status list" promptTitle="Sprint Status" prompt="Choose the sprint status" xr:uid="{00000000-0002-0000-0200-000000000000}">
          <x14:formula1>
            <xm:f>Lists!$B$3:$B$5</xm:f>
          </x14:formula1>
          <x14:formula2>
            <xm:f>0</xm:f>
          </x14:formula2>
          <xm:sqref>F3:F10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8"/>
  <sheetViews>
    <sheetView zoomScaleNormal="100" workbookViewId="0">
      <pane ySplit="2" topLeftCell="A27" activePane="bottomLeft" state="frozen"/>
      <selection activeCell="B1" sqref="B1"/>
      <selection pane="bottomLeft" activeCell="A36" sqref="A36"/>
    </sheetView>
  </sheetViews>
  <sheetFormatPr defaultColWidth="8.6640625" defaultRowHeight="14.4" x14ac:dyDescent="0.3"/>
  <cols>
    <col min="1" max="1" width="14.77734375" customWidth="1"/>
    <col min="2" max="2" width="45.5546875" customWidth="1"/>
    <col min="3" max="4" width="12" customWidth="1"/>
    <col min="5" max="5" width="14" customWidth="1"/>
    <col min="6" max="6" width="23" customWidth="1"/>
    <col min="7" max="7" width="35" customWidth="1"/>
    <col min="8" max="8" width="13" customWidth="1"/>
    <col min="9" max="9" width="12" customWidth="1"/>
    <col min="10" max="12" width="14" customWidth="1"/>
    <col min="13" max="13" width="15" customWidth="1"/>
    <col min="14" max="14" width="21" customWidth="1"/>
    <col min="15" max="15" width="13" customWidth="1"/>
    <col min="16" max="16" width="14" customWidth="1"/>
    <col min="17" max="17" width="18" customWidth="1"/>
    <col min="18" max="18" width="70" customWidth="1"/>
  </cols>
  <sheetData>
    <row r="1" spans="1:16" ht="27.75" customHeight="1" x14ac:dyDescent="0.3">
      <c r="A1" s="2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7" customHeight="1" x14ac:dyDescent="0.3">
      <c r="A2" s="3" t="s">
        <v>148</v>
      </c>
      <c r="B2" s="3" t="s">
        <v>149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154</v>
      </c>
      <c r="H2" s="3" t="s">
        <v>155</v>
      </c>
      <c r="I2" s="3" t="s">
        <v>156</v>
      </c>
      <c r="J2" s="3" t="s">
        <v>157</v>
      </c>
      <c r="K2" s="3" t="s">
        <v>158</v>
      </c>
      <c r="L2" s="3" t="s">
        <v>159</v>
      </c>
      <c r="M2" s="3" t="s">
        <v>160</v>
      </c>
      <c r="N2" s="3" t="s">
        <v>10</v>
      </c>
      <c r="O2" s="3" t="s">
        <v>161</v>
      </c>
      <c r="P2" s="3" t="s">
        <v>162</v>
      </c>
    </row>
    <row r="3" spans="1:16" ht="26.25" customHeight="1" x14ac:dyDescent="0.3">
      <c r="A3" s="4" t="s">
        <v>163</v>
      </c>
      <c r="B3" s="4" t="s">
        <v>164</v>
      </c>
      <c r="C3" s="4" t="s">
        <v>165</v>
      </c>
      <c r="D3" s="4" t="s">
        <v>114</v>
      </c>
      <c r="E3" s="4" t="s">
        <v>114</v>
      </c>
      <c r="F3" s="4" t="s">
        <v>60</v>
      </c>
      <c r="G3" s="4" t="s">
        <v>62</v>
      </c>
      <c r="H3" s="4" t="s">
        <v>166</v>
      </c>
      <c r="I3" s="4">
        <v>40</v>
      </c>
      <c r="J3" s="4">
        <v>48</v>
      </c>
      <c r="K3" s="4">
        <v>50</v>
      </c>
      <c r="L3" s="4">
        <v>0</v>
      </c>
      <c r="M3" s="13">
        <f t="shared" ref="M3:M46" si="0">MIN(IFERROR(K3/J3,0),1)</f>
        <v>1</v>
      </c>
      <c r="N3" s="4" t="s">
        <v>117</v>
      </c>
      <c r="O3" s="4" t="s">
        <v>167</v>
      </c>
      <c r="P3" s="4" t="s">
        <v>168</v>
      </c>
    </row>
    <row r="4" spans="1:16" ht="14.25" customHeight="1" x14ac:dyDescent="0.3">
      <c r="A4" s="4" t="s">
        <v>169</v>
      </c>
      <c r="B4" s="4" t="s">
        <v>170</v>
      </c>
      <c r="C4" s="4" t="s">
        <v>171</v>
      </c>
      <c r="D4" s="4" t="s">
        <v>114</v>
      </c>
      <c r="E4" s="4" t="s">
        <v>114</v>
      </c>
      <c r="F4" s="4" t="s">
        <v>78</v>
      </c>
      <c r="G4" s="4" t="s">
        <v>80</v>
      </c>
      <c r="H4" s="4" t="s">
        <v>166</v>
      </c>
      <c r="I4" s="4">
        <v>16</v>
      </c>
      <c r="J4" s="4">
        <v>16</v>
      </c>
      <c r="K4" s="4">
        <v>19</v>
      </c>
      <c r="L4" s="4">
        <v>0</v>
      </c>
      <c r="M4" s="13">
        <f t="shared" si="0"/>
        <v>1</v>
      </c>
      <c r="N4" s="4" t="s">
        <v>117</v>
      </c>
      <c r="O4" s="4" t="s">
        <v>172</v>
      </c>
      <c r="P4" s="4"/>
    </row>
    <row r="5" spans="1:16" ht="26.25" customHeight="1" x14ac:dyDescent="0.3">
      <c r="A5" s="4" t="s">
        <v>173</v>
      </c>
      <c r="B5" s="4" t="s">
        <v>174</v>
      </c>
      <c r="C5" s="4" t="s">
        <v>175</v>
      </c>
      <c r="D5" s="4" t="s">
        <v>114</v>
      </c>
      <c r="E5" s="4" t="s">
        <v>114</v>
      </c>
      <c r="F5" s="4" t="s">
        <v>67</v>
      </c>
      <c r="G5" s="4" t="s">
        <v>69</v>
      </c>
      <c r="H5" s="4" t="s">
        <v>166</v>
      </c>
      <c r="I5" s="4">
        <v>24</v>
      </c>
      <c r="J5" s="4">
        <v>28</v>
      </c>
      <c r="K5" s="4">
        <v>30</v>
      </c>
      <c r="L5" s="4">
        <v>0</v>
      </c>
      <c r="M5" s="13">
        <f t="shared" si="0"/>
        <v>1</v>
      </c>
      <c r="N5" s="4" t="s">
        <v>117</v>
      </c>
      <c r="O5" s="4" t="s">
        <v>167</v>
      </c>
      <c r="P5" s="4" t="s">
        <v>168</v>
      </c>
    </row>
    <row r="6" spans="1:16" ht="26.25" customHeight="1" x14ac:dyDescent="0.3">
      <c r="A6" s="4" t="s">
        <v>176</v>
      </c>
      <c r="B6" s="4" t="s">
        <v>177</v>
      </c>
      <c r="C6" s="4" t="s">
        <v>165</v>
      </c>
      <c r="D6" s="4" t="s">
        <v>114</v>
      </c>
      <c r="E6" s="4" t="s">
        <v>114</v>
      </c>
      <c r="F6" s="4" t="s">
        <v>60</v>
      </c>
      <c r="G6" s="4" t="s">
        <v>64</v>
      </c>
      <c r="H6" s="4" t="s">
        <v>166</v>
      </c>
      <c r="I6" s="4">
        <v>32</v>
      </c>
      <c r="J6" s="4">
        <v>36</v>
      </c>
      <c r="K6" s="4">
        <v>38</v>
      </c>
      <c r="L6" s="4">
        <v>0</v>
      </c>
      <c r="M6" s="13">
        <f t="shared" si="0"/>
        <v>1</v>
      </c>
      <c r="N6" s="4" t="s">
        <v>117</v>
      </c>
      <c r="O6" s="4" t="s">
        <v>167</v>
      </c>
      <c r="P6" s="4" t="s">
        <v>178</v>
      </c>
    </row>
    <row r="7" spans="1:16" ht="14.25" customHeight="1" x14ac:dyDescent="0.3">
      <c r="A7" s="4" t="s">
        <v>179</v>
      </c>
      <c r="B7" s="4" t="s">
        <v>180</v>
      </c>
      <c r="C7" s="4" t="s">
        <v>171</v>
      </c>
      <c r="D7" s="4" t="s">
        <v>114</v>
      </c>
      <c r="E7" s="4" t="s">
        <v>114</v>
      </c>
      <c r="F7" s="4" t="s">
        <v>83</v>
      </c>
      <c r="G7" s="4" t="s">
        <v>85</v>
      </c>
      <c r="H7" s="4" t="s">
        <v>181</v>
      </c>
      <c r="I7" s="4">
        <v>12</v>
      </c>
      <c r="J7" s="4">
        <v>12</v>
      </c>
      <c r="K7" s="4">
        <v>13</v>
      </c>
      <c r="L7" s="4">
        <v>0</v>
      </c>
      <c r="M7" s="13">
        <f t="shared" si="0"/>
        <v>1</v>
      </c>
      <c r="N7" s="4" t="s">
        <v>117</v>
      </c>
      <c r="O7" s="4" t="s">
        <v>172</v>
      </c>
      <c r="P7" s="4"/>
    </row>
    <row r="8" spans="1:16" ht="26.25" customHeight="1" x14ac:dyDescent="0.3">
      <c r="A8" s="4" t="s">
        <v>182</v>
      </c>
      <c r="B8" s="4" t="s">
        <v>183</v>
      </c>
      <c r="C8" s="4" t="s">
        <v>175</v>
      </c>
      <c r="D8" s="4" t="s">
        <v>114</v>
      </c>
      <c r="E8" s="4" t="s">
        <v>114</v>
      </c>
      <c r="F8" s="4" t="s">
        <v>60</v>
      </c>
      <c r="G8" s="4" t="s">
        <v>62</v>
      </c>
      <c r="H8" s="4" t="s">
        <v>166</v>
      </c>
      <c r="I8" s="4">
        <v>20</v>
      </c>
      <c r="J8" s="4">
        <v>24</v>
      </c>
      <c r="K8" s="4">
        <v>25</v>
      </c>
      <c r="L8" s="4">
        <v>0</v>
      </c>
      <c r="M8" s="13">
        <f t="shared" si="0"/>
        <v>1</v>
      </c>
      <c r="N8" s="4" t="s">
        <v>117</v>
      </c>
      <c r="O8" s="4" t="s">
        <v>167</v>
      </c>
      <c r="P8" s="4" t="s">
        <v>168</v>
      </c>
    </row>
    <row r="9" spans="1:16" ht="14.25" customHeight="1" x14ac:dyDescent="0.3">
      <c r="A9" s="4" t="s">
        <v>184</v>
      </c>
      <c r="B9" s="4" t="s">
        <v>185</v>
      </c>
      <c r="C9" s="4" t="s">
        <v>186</v>
      </c>
      <c r="D9" s="4" t="s">
        <v>114</v>
      </c>
      <c r="E9" s="4" t="s">
        <v>114</v>
      </c>
      <c r="F9" s="4" t="s">
        <v>78</v>
      </c>
      <c r="G9" s="4" t="s">
        <v>80</v>
      </c>
      <c r="H9" s="4" t="s">
        <v>166</v>
      </c>
      <c r="I9" s="4">
        <v>16</v>
      </c>
      <c r="J9" s="4">
        <v>16</v>
      </c>
      <c r="K9" s="4">
        <v>17</v>
      </c>
      <c r="L9" s="4">
        <v>0</v>
      </c>
      <c r="M9" s="13">
        <f t="shared" si="0"/>
        <v>1</v>
      </c>
      <c r="N9" s="4" t="s">
        <v>117</v>
      </c>
      <c r="O9" s="4" t="s">
        <v>172</v>
      </c>
      <c r="P9" s="4"/>
    </row>
    <row r="10" spans="1:16" ht="26.25" customHeight="1" x14ac:dyDescent="0.3">
      <c r="A10" s="4" t="s">
        <v>187</v>
      </c>
      <c r="B10" s="4" t="s">
        <v>188</v>
      </c>
      <c r="C10" s="4" t="s">
        <v>175</v>
      </c>
      <c r="D10" s="4" t="s">
        <v>114</v>
      </c>
      <c r="E10" s="4" t="s">
        <v>114</v>
      </c>
      <c r="F10" s="4" t="s">
        <v>67</v>
      </c>
      <c r="G10" s="4" t="s">
        <v>70</v>
      </c>
      <c r="H10" s="4" t="s">
        <v>181</v>
      </c>
      <c r="I10" s="4">
        <v>16</v>
      </c>
      <c r="J10" s="4">
        <v>20</v>
      </c>
      <c r="K10" s="4">
        <v>32</v>
      </c>
      <c r="L10" s="4">
        <v>0</v>
      </c>
      <c r="M10" s="13">
        <f t="shared" si="0"/>
        <v>1</v>
      </c>
      <c r="N10" s="4" t="s">
        <v>117</v>
      </c>
      <c r="O10" s="4" t="s">
        <v>167</v>
      </c>
      <c r="P10" s="4" t="s">
        <v>189</v>
      </c>
    </row>
    <row r="11" spans="1:16" ht="26.25" customHeight="1" x14ac:dyDescent="0.3">
      <c r="A11" s="4" t="s">
        <v>190</v>
      </c>
      <c r="B11" s="4" t="s">
        <v>191</v>
      </c>
      <c r="C11" s="4" t="s">
        <v>171</v>
      </c>
      <c r="D11" s="4" t="s">
        <v>114</v>
      </c>
      <c r="E11" s="4" t="s">
        <v>114</v>
      </c>
      <c r="F11" s="4" t="s">
        <v>88</v>
      </c>
      <c r="G11" s="4" t="s">
        <v>90</v>
      </c>
      <c r="H11" s="4" t="s">
        <v>181</v>
      </c>
      <c r="I11" s="4">
        <v>12</v>
      </c>
      <c r="J11" s="4">
        <v>12</v>
      </c>
      <c r="K11" s="4">
        <v>21</v>
      </c>
      <c r="L11" s="4">
        <v>0</v>
      </c>
      <c r="M11" s="13">
        <f t="shared" si="0"/>
        <v>1</v>
      </c>
      <c r="N11" s="4" t="s">
        <v>117</v>
      </c>
      <c r="O11" s="4" t="s">
        <v>172</v>
      </c>
      <c r="P11" s="4"/>
    </row>
    <row r="12" spans="1:16" ht="14.25" customHeight="1" x14ac:dyDescent="0.3">
      <c r="A12" s="4" t="s">
        <v>192</v>
      </c>
      <c r="B12" s="4" t="s">
        <v>193</v>
      </c>
      <c r="C12" s="4" t="s">
        <v>171</v>
      </c>
      <c r="D12" s="4" t="s">
        <v>114</v>
      </c>
      <c r="E12" s="4" t="s">
        <v>114</v>
      </c>
      <c r="F12" s="4" t="s">
        <v>93</v>
      </c>
      <c r="G12" s="4" t="s">
        <v>95</v>
      </c>
      <c r="H12" s="4" t="s">
        <v>194</v>
      </c>
      <c r="I12" s="4">
        <v>8</v>
      </c>
      <c r="J12" s="4">
        <v>8</v>
      </c>
      <c r="K12" s="4">
        <v>8</v>
      </c>
      <c r="L12" s="4">
        <v>0</v>
      </c>
      <c r="M12" s="13">
        <f t="shared" si="0"/>
        <v>1</v>
      </c>
      <c r="N12" s="4" t="s">
        <v>117</v>
      </c>
      <c r="O12" s="4" t="s">
        <v>172</v>
      </c>
      <c r="P12" s="4"/>
    </row>
    <row r="13" spans="1:16" ht="26.25" customHeight="1" x14ac:dyDescent="0.3">
      <c r="A13" s="4" t="s">
        <v>195</v>
      </c>
      <c r="B13" s="4" t="s">
        <v>196</v>
      </c>
      <c r="C13" s="4" t="s">
        <v>165</v>
      </c>
      <c r="D13" s="4" t="s">
        <v>118</v>
      </c>
      <c r="E13" s="4" t="s">
        <v>118</v>
      </c>
      <c r="F13" s="4" t="s">
        <v>67</v>
      </c>
      <c r="G13" s="4" t="s">
        <v>69</v>
      </c>
      <c r="H13" s="4" t="s">
        <v>166</v>
      </c>
      <c r="I13" s="4">
        <v>40</v>
      </c>
      <c r="J13" s="4">
        <v>48</v>
      </c>
      <c r="K13" s="4">
        <v>50</v>
      </c>
      <c r="L13" s="4">
        <v>0</v>
      </c>
      <c r="M13" s="13">
        <f t="shared" si="0"/>
        <v>1</v>
      </c>
      <c r="N13" s="4" t="s">
        <v>117</v>
      </c>
      <c r="O13" s="4" t="s">
        <v>167</v>
      </c>
      <c r="P13" s="4" t="s">
        <v>178</v>
      </c>
    </row>
    <row r="14" spans="1:16" ht="14.25" customHeight="1" x14ac:dyDescent="0.3">
      <c r="A14" s="4" t="s">
        <v>197</v>
      </c>
      <c r="B14" s="4" t="s">
        <v>198</v>
      </c>
      <c r="C14" s="4" t="s">
        <v>165</v>
      </c>
      <c r="D14" s="4" t="s">
        <v>118</v>
      </c>
      <c r="E14" s="4" t="s">
        <v>118</v>
      </c>
      <c r="F14" s="4" t="s">
        <v>67</v>
      </c>
      <c r="G14" s="4" t="s">
        <v>69</v>
      </c>
      <c r="H14" s="4" t="s">
        <v>166</v>
      </c>
      <c r="I14" s="4">
        <v>32</v>
      </c>
      <c r="J14" s="4">
        <v>36</v>
      </c>
      <c r="K14" s="4">
        <v>37</v>
      </c>
      <c r="L14" s="4">
        <v>0</v>
      </c>
      <c r="M14" s="13">
        <f t="shared" si="0"/>
        <v>1</v>
      </c>
      <c r="N14" s="4" t="s">
        <v>117</v>
      </c>
      <c r="O14" s="4" t="s">
        <v>167</v>
      </c>
      <c r="P14" s="4" t="s">
        <v>168</v>
      </c>
    </row>
    <row r="15" spans="1:16" ht="14.25" customHeight="1" x14ac:dyDescent="0.3">
      <c r="A15" s="4" t="s">
        <v>199</v>
      </c>
      <c r="B15" s="4" t="s">
        <v>200</v>
      </c>
      <c r="C15" s="4" t="s">
        <v>175</v>
      </c>
      <c r="D15" s="4" t="s">
        <v>118</v>
      </c>
      <c r="E15" s="4" t="s">
        <v>118</v>
      </c>
      <c r="F15" s="4" t="s">
        <v>78</v>
      </c>
      <c r="G15" s="4" t="s">
        <v>81</v>
      </c>
      <c r="H15" s="4" t="s">
        <v>166</v>
      </c>
      <c r="I15" s="4">
        <v>24</v>
      </c>
      <c r="J15" s="4">
        <v>24</v>
      </c>
      <c r="K15" s="4">
        <v>25</v>
      </c>
      <c r="L15" s="4">
        <v>0</v>
      </c>
      <c r="M15" s="13">
        <f t="shared" si="0"/>
        <v>1</v>
      </c>
      <c r="N15" s="4" t="s">
        <v>117</v>
      </c>
      <c r="O15" s="4" t="s">
        <v>172</v>
      </c>
      <c r="P15" s="4"/>
    </row>
    <row r="16" spans="1:16" ht="23.25" customHeight="1" x14ac:dyDescent="0.3">
      <c r="A16" s="4" t="s">
        <v>201</v>
      </c>
      <c r="B16" s="4" t="s">
        <v>202</v>
      </c>
      <c r="C16" s="4" t="s">
        <v>175</v>
      </c>
      <c r="D16" s="4" t="s">
        <v>118</v>
      </c>
      <c r="E16" s="4" t="s">
        <v>118</v>
      </c>
      <c r="F16" s="4" t="s">
        <v>78</v>
      </c>
      <c r="G16" s="4" t="s">
        <v>80</v>
      </c>
      <c r="H16" s="4" t="s">
        <v>166</v>
      </c>
      <c r="I16" s="4">
        <v>20</v>
      </c>
      <c r="J16" s="4">
        <v>26</v>
      </c>
      <c r="K16" s="4">
        <v>27</v>
      </c>
      <c r="L16" s="4">
        <v>0</v>
      </c>
      <c r="M16" s="13">
        <f t="shared" si="0"/>
        <v>1</v>
      </c>
      <c r="N16" s="4" t="s">
        <v>117</v>
      </c>
      <c r="O16" s="4" t="s">
        <v>167</v>
      </c>
      <c r="P16" s="4" t="s">
        <v>178</v>
      </c>
    </row>
    <row r="17" spans="1:16" ht="14.25" customHeight="1" x14ac:dyDescent="0.3">
      <c r="A17" s="4" t="s">
        <v>203</v>
      </c>
      <c r="B17" s="4" t="s">
        <v>204</v>
      </c>
      <c r="C17" s="4" t="s">
        <v>171</v>
      </c>
      <c r="D17" s="4" t="s">
        <v>118</v>
      </c>
      <c r="E17" s="4" t="s">
        <v>118</v>
      </c>
      <c r="F17" s="4" t="s">
        <v>83</v>
      </c>
      <c r="G17" s="4" t="s">
        <v>85</v>
      </c>
      <c r="H17" s="4" t="s">
        <v>181</v>
      </c>
      <c r="I17" s="4">
        <v>20</v>
      </c>
      <c r="J17" s="4">
        <v>20</v>
      </c>
      <c r="K17" s="4">
        <v>21</v>
      </c>
      <c r="L17" s="4">
        <v>0</v>
      </c>
      <c r="M17" s="13">
        <f t="shared" si="0"/>
        <v>1</v>
      </c>
      <c r="N17" s="4" t="s">
        <v>117</v>
      </c>
      <c r="O17" s="4" t="s">
        <v>172</v>
      </c>
      <c r="P17" s="4"/>
    </row>
    <row r="18" spans="1:16" ht="14.25" customHeight="1" x14ac:dyDescent="0.3">
      <c r="A18" s="4" t="s">
        <v>205</v>
      </c>
      <c r="B18" s="4" t="s">
        <v>206</v>
      </c>
      <c r="C18" s="4" t="s">
        <v>186</v>
      </c>
      <c r="D18" s="4" t="s">
        <v>118</v>
      </c>
      <c r="E18" s="4" t="s">
        <v>118</v>
      </c>
      <c r="F18" s="4" t="s">
        <v>78</v>
      </c>
      <c r="G18" s="4" t="s">
        <v>80</v>
      </c>
      <c r="H18" s="4" t="s">
        <v>181</v>
      </c>
      <c r="I18" s="4">
        <v>12</v>
      </c>
      <c r="J18" s="4">
        <v>12</v>
      </c>
      <c r="K18" s="4">
        <v>12</v>
      </c>
      <c r="L18" s="4">
        <v>0</v>
      </c>
      <c r="M18" s="13">
        <f t="shared" si="0"/>
        <v>1</v>
      </c>
      <c r="N18" s="4" t="s">
        <v>117</v>
      </c>
      <c r="O18" s="4" t="s">
        <v>172</v>
      </c>
      <c r="P18" s="4"/>
    </row>
    <row r="19" spans="1:16" ht="14.25" customHeight="1" x14ac:dyDescent="0.3">
      <c r="A19" s="4" t="s">
        <v>207</v>
      </c>
      <c r="B19" s="4" t="s">
        <v>208</v>
      </c>
      <c r="C19" s="4" t="s">
        <v>175</v>
      </c>
      <c r="D19" s="4" t="s">
        <v>118</v>
      </c>
      <c r="E19" s="4" t="s">
        <v>118</v>
      </c>
      <c r="F19" s="4" t="s">
        <v>83</v>
      </c>
      <c r="G19" s="4" t="s">
        <v>85</v>
      </c>
      <c r="H19" s="4" t="s">
        <v>181</v>
      </c>
      <c r="I19" s="4">
        <v>16</v>
      </c>
      <c r="J19" s="4">
        <v>20</v>
      </c>
      <c r="K19" s="4">
        <v>20</v>
      </c>
      <c r="L19" s="4">
        <v>0</v>
      </c>
      <c r="M19" s="13">
        <f t="shared" si="0"/>
        <v>1</v>
      </c>
      <c r="N19" s="4" t="s">
        <v>117</v>
      </c>
      <c r="O19" s="4" t="s">
        <v>172</v>
      </c>
      <c r="P19" s="4"/>
    </row>
    <row r="20" spans="1:16" ht="26.25" customHeight="1" x14ac:dyDescent="0.3">
      <c r="A20" s="4" t="s">
        <v>209</v>
      </c>
      <c r="B20" s="4" t="s">
        <v>210</v>
      </c>
      <c r="C20" s="4" t="s">
        <v>175</v>
      </c>
      <c r="D20" s="4" t="s">
        <v>118</v>
      </c>
      <c r="E20" s="4" t="s">
        <v>118</v>
      </c>
      <c r="F20" s="4" t="s">
        <v>67</v>
      </c>
      <c r="G20" s="4" t="s">
        <v>69</v>
      </c>
      <c r="H20" s="4" t="s">
        <v>166</v>
      </c>
      <c r="I20" s="4">
        <v>16</v>
      </c>
      <c r="J20" s="4">
        <v>16</v>
      </c>
      <c r="K20" s="4">
        <v>17</v>
      </c>
      <c r="L20" s="4">
        <v>0</v>
      </c>
      <c r="M20" s="13">
        <f t="shared" si="0"/>
        <v>1</v>
      </c>
      <c r="N20" s="4" t="s">
        <v>117</v>
      </c>
      <c r="O20" s="4" t="s">
        <v>167</v>
      </c>
      <c r="P20" s="4" t="s">
        <v>211</v>
      </c>
    </row>
    <row r="21" spans="1:16" ht="26.25" customHeight="1" x14ac:dyDescent="0.3">
      <c r="A21" s="4" t="s">
        <v>212</v>
      </c>
      <c r="B21" s="4" t="s">
        <v>213</v>
      </c>
      <c r="C21" s="4" t="s">
        <v>175</v>
      </c>
      <c r="D21" s="4" t="s">
        <v>118</v>
      </c>
      <c r="E21" s="4" t="s">
        <v>114</v>
      </c>
      <c r="F21" s="4" t="s">
        <v>78</v>
      </c>
      <c r="G21" s="4" t="s">
        <v>80</v>
      </c>
      <c r="H21" s="4" t="s">
        <v>181</v>
      </c>
      <c r="I21" s="4">
        <v>16</v>
      </c>
      <c r="J21" s="4">
        <v>20</v>
      </c>
      <c r="K21" s="4">
        <v>20</v>
      </c>
      <c r="L21" s="4">
        <v>0</v>
      </c>
      <c r="M21" s="13">
        <f t="shared" si="0"/>
        <v>1</v>
      </c>
      <c r="N21" s="4" t="s">
        <v>117</v>
      </c>
      <c r="O21" s="4" t="s">
        <v>172</v>
      </c>
      <c r="P21" s="4"/>
    </row>
    <row r="22" spans="1:16" ht="26.25" customHeight="1" x14ac:dyDescent="0.3">
      <c r="A22" s="4" t="s">
        <v>214</v>
      </c>
      <c r="B22" s="4" t="s">
        <v>215</v>
      </c>
      <c r="C22" s="4" t="s">
        <v>165</v>
      </c>
      <c r="D22" s="4" t="s">
        <v>122</v>
      </c>
      <c r="E22" s="4" t="s">
        <v>122</v>
      </c>
      <c r="F22" s="4" t="s">
        <v>73</v>
      </c>
      <c r="G22" s="4" t="s">
        <v>75</v>
      </c>
      <c r="H22" s="4" t="s">
        <v>166</v>
      </c>
      <c r="I22" s="4">
        <v>24</v>
      </c>
      <c r="J22" s="4">
        <v>28</v>
      </c>
      <c r="K22" s="4">
        <v>31</v>
      </c>
      <c r="L22" s="4">
        <v>0</v>
      </c>
      <c r="M22" s="13">
        <f t="shared" si="0"/>
        <v>1</v>
      </c>
      <c r="N22" s="4" t="s">
        <v>117</v>
      </c>
      <c r="O22" s="4" t="s">
        <v>172</v>
      </c>
      <c r="P22" s="4"/>
    </row>
    <row r="23" spans="1:16" ht="26.25" customHeight="1" x14ac:dyDescent="0.3">
      <c r="A23" s="4" t="s">
        <v>216</v>
      </c>
      <c r="B23" s="4" t="s">
        <v>217</v>
      </c>
      <c r="C23" s="4" t="s">
        <v>165</v>
      </c>
      <c r="D23" s="4" t="s">
        <v>122</v>
      </c>
      <c r="E23" s="4" t="s">
        <v>122</v>
      </c>
      <c r="F23" s="4" t="s">
        <v>73</v>
      </c>
      <c r="G23" s="4" t="s">
        <v>75</v>
      </c>
      <c r="H23" s="4" t="s">
        <v>166</v>
      </c>
      <c r="I23" s="4">
        <v>20</v>
      </c>
      <c r="J23" s="4">
        <v>24</v>
      </c>
      <c r="K23" s="4">
        <v>27</v>
      </c>
      <c r="L23" s="4">
        <v>0</v>
      </c>
      <c r="M23" s="13">
        <f t="shared" si="0"/>
        <v>1</v>
      </c>
      <c r="N23" s="4" t="s">
        <v>117</v>
      </c>
      <c r="O23" s="4" t="s">
        <v>167</v>
      </c>
      <c r="P23" s="4" t="s">
        <v>168</v>
      </c>
    </row>
    <row r="24" spans="1:16" ht="26.25" customHeight="1" x14ac:dyDescent="0.3">
      <c r="A24" s="4" t="s">
        <v>218</v>
      </c>
      <c r="B24" s="4" t="s">
        <v>219</v>
      </c>
      <c r="C24" s="4" t="s">
        <v>165</v>
      </c>
      <c r="D24" s="4" t="s">
        <v>122</v>
      </c>
      <c r="E24" s="4" t="s">
        <v>122</v>
      </c>
      <c r="F24" s="4" t="s">
        <v>73</v>
      </c>
      <c r="G24" s="4" t="s">
        <v>75</v>
      </c>
      <c r="H24" s="4" t="s">
        <v>166</v>
      </c>
      <c r="I24" s="4">
        <v>24</v>
      </c>
      <c r="J24" s="4">
        <v>30</v>
      </c>
      <c r="K24" s="4">
        <v>38</v>
      </c>
      <c r="L24" s="4">
        <v>0</v>
      </c>
      <c r="M24" s="13">
        <f t="shared" si="0"/>
        <v>1</v>
      </c>
      <c r="N24" s="4" t="s">
        <v>117</v>
      </c>
      <c r="O24" s="4" t="s">
        <v>167</v>
      </c>
      <c r="P24" s="4" t="s">
        <v>178</v>
      </c>
    </row>
    <row r="25" spans="1:16" ht="14.25" customHeight="1" x14ac:dyDescent="0.3">
      <c r="A25" s="4" t="s">
        <v>220</v>
      </c>
      <c r="B25" s="4" t="s">
        <v>221</v>
      </c>
      <c r="C25" s="4" t="s">
        <v>175</v>
      </c>
      <c r="D25" s="4" t="s">
        <v>122</v>
      </c>
      <c r="E25" s="4" t="s">
        <v>122</v>
      </c>
      <c r="F25" s="4" t="s">
        <v>73</v>
      </c>
      <c r="G25" s="4" t="s">
        <v>75</v>
      </c>
      <c r="H25" s="4" t="s">
        <v>166</v>
      </c>
      <c r="I25" s="4">
        <v>20</v>
      </c>
      <c r="J25" s="4">
        <v>24</v>
      </c>
      <c r="K25" s="4">
        <v>26</v>
      </c>
      <c r="L25" s="4">
        <v>0</v>
      </c>
      <c r="M25" s="13">
        <f t="shared" si="0"/>
        <v>1</v>
      </c>
      <c r="N25" s="4" t="s">
        <v>117</v>
      </c>
      <c r="O25" s="4" t="s">
        <v>172</v>
      </c>
      <c r="P25" s="4"/>
    </row>
    <row r="26" spans="1:16" ht="26.25" customHeight="1" x14ac:dyDescent="0.3">
      <c r="A26" s="4" t="s">
        <v>222</v>
      </c>
      <c r="B26" s="4" t="s">
        <v>223</v>
      </c>
      <c r="C26" s="4" t="s">
        <v>175</v>
      </c>
      <c r="D26" s="4" t="s">
        <v>122</v>
      </c>
      <c r="E26" s="4" t="s">
        <v>122</v>
      </c>
      <c r="F26" s="4" t="s">
        <v>73</v>
      </c>
      <c r="G26" s="4" t="s">
        <v>75</v>
      </c>
      <c r="H26" s="4" t="s">
        <v>166</v>
      </c>
      <c r="I26" s="4">
        <v>16</v>
      </c>
      <c r="J26" s="4">
        <v>20</v>
      </c>
      <c r="K26" s="4">
        <v>22</v>
      </c>
      <c r="L26" s="4">
        <v>0</v>
      </c>
      <c r="M26" s="13">
        <f t="shared" si="0"/>
        <v>1</v>
      </c>
      <c r="N26" s="4" t="s">
        <v>117</v>
      </c>
      <c r="O26" s="4" t="s">
        <v>167</v>
      </c>
      <c r="P26" s="4" t="s">
        <v>189</v>
      </c>
    </row>
    <row r="27" spans="1:16" ht="14.25" customHeight="1" x14ac:dyDescent="0.3">
      <c r="A27" s="4" t="s">
        <v>224</v>
      </c>
      <c r="B27" s="4" t="s">
        <v>225</v>
      </c>
      <c r="C27" s="4" t="s">
        <v>175</v>
      </c>
      <c r="D27" s="4" t="s">
        <v>122</v>
      </c>
      <c r="E27" s="4" t="s">
        <v>122</v>
      </c>
      <c r="F27" s="4" t="s">
        <v>60</v>
      </c>
      <c r="G27" s="4" t="s">
        <v>62</v>
      </c>
      <c r="H27" s="4" t="s">
        <v>181</v>
      </c>
      <c r="I27" s="4">
        <v>16</v>
      </c>
      <c r="J27" s="4">
        <v>16</v>
      </c>
      <c r="K27" s="4">
        <v>17</v>
      </c>
      <c r="L27" s="4">
        <v>0</v>
      </c>
      <c r="M27" s="13">
        <f t="shared" si="0"/>
        <v>1</v>
      </c>
      <c r="N27" s="4" t="s">
        <v>117</v>
      </c>
      <c r="O27" s="4" t="s">
        <v>172</v>
      </c>
      <c r="P27" s="4"/>
    </row>
    <row r="28" spans="1:16" ht="39" customHeight="1" x14ac:dyDescent="0.3">
      <c r="A28" s="4" t="s">
        <v>226</v>
      </c>
      <c r="B28" s="4" t="s">
        <v>227</v>
      </c>
      <c r="C28" s="4" t="s">
        <v>171</v>
      </c>
      <c r="D28" s="4" t="s">
        <v>122</v>
      </c>
      <c r="E28" s="4" t="s">
        <v>122</v>
      </c>
      <c r="F28" s="4" t="s">
        <v>83</v>
      </c>
      <c r="G28" s="4" t="s">
        <v>71</v>
      </c>
      <c r="H28" s="4" t="s">
        <v>181</v>
      </c>
      <c r="I28" s="4">
        <v>16</v>
      </c>
      <c r="J28" s="4">
        <v>20</v>
      </c>
      <c r="K28" s="4">
        <v>38</v>
      </c>
      <c r="L28" s="4">
        <v>0</v>
      </c>
      <c r="M28" s="13">
        <f t="shared" si="0"/>
        <v>1</v>
      </c>
      <c r="N28" s="4" t="s">
        <v>117</v>
      </c>
      <c r="O28" s="4" t="s">
        <v>172</v>
      </c>
      <c r="P28" s="4"/>
    </row>
    <row r="29" spans="1:16" ht="26.25" customHeight="1" x14ac:dyDescent="0.3">
      <c r="A29" s="4" t="s">
        <v>228</v>
      </c>
      <c r="B29" s="4" t="s">
        <v>229</v>
      </c>
      <c r="C29" s="4" t="s">
        <v>230</v>
      </c>
      <c r="D29" s="4" t="s">
        <v>122</v>
      </c>
      <c r="E29" s="4" t="s">
        <v>122</v>
      </c>
      <c r="F29" s="4" t="s">
        <v>73</v>
      </c>
      <c r="G29" s="4" t="s">
        <v>75</v>
      </c>
      <c r="H29" s="4" t="s">
        <v>166</v>
      </c>
      <c r="I29" s="4">
        <v>8</v>
      </c>
      <c r="J29" s="4">
        <v>8</v>
      </c>
      <c r="K29" s="4">
        <v>10</v>
      </c>
      <c r="L29" s="4">
        <v>0</v>
      </c>
      <c r="M29" s="13">
        <f t="shared" si="0"/>
        <v>1</v>
      </c>
      <c r="N29" s="4" t="s">
        <v>117</v>
      </c>
      <c r="O29" s="4" t="s">
        <v>172</v>
      </c>
      <c r="P29" s="4"/>
    </row>
    <row r="30" spans="1:16" ht="26.25" customHeight="1" x14ac:dyDescent="0.3">
      <c r="A30" s="4" t="s">
        <v>231</v>
      </c>
      <c r="B30" s="4" t="s">
        <v>232</v>
      </c>
      <c r="C30" s="4" t="s">
        <v>175</v>
      </c>
      <c r="D30" s="4" t="s">
        <v>122</v>
      </c>
      <c r="E30" s="4" t="s">
        <v>118</v>
      </c>
      <c r="F30" s="4" t="s">
        <v>67</v>
      </c>
      <c r="G30" s="4" t="s">
        <v>70</v>
      </c>
      <c r="H30" s="4" t="s">
        <v>181</v>
      </c>
      <c r="I30" s="4">
        <v>16</v>
      </c>
      <c r="J30" s="4">
        <v>20</v>
      </c>
      <c r="K30" s="4">
        <v>22</v>
      </c>
      <c r="L30" s="4">
        <v>0</v>
      </c>
      <c r="M30" s="13">
        <f t="shared" si="0"/>
        <v>1</v>
      </c>
      <c r="N30" s="4" t="s">
        <v>117</v>
      </c>
      <c r="O30" s="4" t="s">
        <v>172</v>
      </c>
      <c r="P30" s="4"/>
    </row>
    <row r="31" spans="1:16" ht="39" customHeight="1" x14ac:dyDescent="0.3">
      <c r="A31" s="4" t="s">
        <v>233</v>
      </c>
      <c r="B31" s="4" t="s">
        <v>234</v>
      </c>
      <c r="C31" s="4" t="s">
        <v>171</v>
      </c>
      <c r="D31" s="4" t="s">
        <v>122</v>
      </c>
      <c r="E31" s="4" t="s">
        <v>122</v>
      </c>
      <c r="F31" s="4" t="s">
        <v>83</v>
      </c>
      <c r="G31" s="4" t="s">
        <v>85</v>
      </c>
      <c r="H31" s="4" t="s">
        <v>181</v>
      </c>
      <c r="I31" s="4">
        <v>0</v>
      </c>
      <c r="J31" s="4">
        <v>40</v>
      </c>
      <c r="K31" s="4">
        <v>40</v>
      </c>
      <c r="L31" s="4">
        <v>0</v>
      </c>
      <c r="M31" s="13">
        <f t="shared" si="0"/>
        <v>1</v>
      </c>
      <c r="N31" s="4" t="s">
        <v>117</v>
      </c>
      <c r="O31" s="4" t="s">
        <v>167</v>
      </c>
      <c r="P31" s="4" t="s">
        <v>235</v>
      </c>
    </row>
    <row r="32" spans="1:16" ht="39" customHeight="1" x14ac:dyDescent="0.3">
      <c r="A32" s="4" t="s">
        <v>236</v>
      </c>
      <c r="B32" s="4" t="s">
        <v>237</v>
      </c>
      <c r="C32" s="4" t="s">
        <v>165</v>
      </c>
      <c r="D32" s="4" t="s">
        <v>126</v>
      </c>
      <c r="E32" s="4" t="s">
        <v>126</v>
      </c>
      <c r="F32" s="4" t="s">
        <v>60</v>
      </c>
      <c r="G32" s="4" t="s">
        <v>62</v>
      </c>
      <c r="H32" s="4" t="s">
        <v>166</v>
      </c>
      <c r="I32" s="4">
        <v>40</v>
      </c>
      <c r="J32" s="4">
        <v>52</v>
      </c>
      <c r="K32" s="4">
        <v>54</v>
      </c>
      <c r="L32" s="4">
        <v>0</v>
      </c>
      <c r="M32" s="13">
        <f t="shared" si="0"/>
        <v>1</v>
      </c>
      <c r="N32" s="4" t="s">
        <v>117</v>
      </c>
      <c r="O32" s="4" t="s">
        <v>167</v>
      </c>
      <c r="P32" s="4" t="s">
        <v>178</v>
      </c>
    </row>
    <row r="33" spans="1:16" ht="26.25" customHeight="1" x14ac:dyDescent="0.3">
      <c r="A33" s="4" t="s">
        <v>238</v>
      </c>
      <c r="B33" s="4" t="s">
        <v>239</v>
      </c>
      <c r="C33" s="4" t="s">
        <v>165</v>
      </c>
      <c r="D33" s="4" t="s">
        <v>126</v>
      </c>
      <c r="E33" s="4" t="s">
        <v>126</v>
      </c>
      <c r="F33" s="4" t="s">
        <v>60</v>
      </c>
      <c r="G33" s="4" t="s">
        <v>64</v>
      </c>
      <c r="H33" s="4" t="s">
        <v>166</v>
      </c>
      <c r="I33" s="4">
        <v>32</v>
      </c>
      <c r="J33" s="4">
        <v>38</v>
      </c>
      <c r="K33" s="4">
        <v>40</v>
      </c>
      <c r="L33" s="4">
        <v>0</v>
      </c>
      <c r="M33" s="13">
        <f t="shared" si="0"/>
        <v>1</v>
      </c>
      <c r="N33" s="4" t="s">
        <v>117</v>
      </c>
      <c r="O33" s="4" t="s">
        <v>172</v>
      </c>
      <c r="P33" s="4"/>
    </row>
    <row r="34" spans="1:16" ht="26.25" customHeight="1" x14ac:dyDescent="0.3">
      <c r="A34" s="4" t="s">
        <v>240</v>
      </c>
      <c r="B34" s="4" t="s">
        <v>241</v>
      </c>
      <c r="C34" s="4" t="s">
        <v>175</v>
      </c>
      <c r="D34" s="4" t="s">
        <v>126</v>
      </c>
      <c r="E34" s="4" t="s">
        <v>122</v>
      </c>
      <c r="F34" s="4" t="s">
        <v>73</v>
      </c>
      <c r="G34" s="4" t="s">
        <v>76</v>
      </c>
      <c r="H34" s="4" t="s">
        <v>166</v>
      </c>
      <c r="I34" s="4">
        <v>16</v>
      </c>
      <c r="J34" s="4">
        <v>22</v>
      </c>
      <c r="K34" s="4">
        <v>26</v>
      </c>
      <c r="L34" s="4">
        <v>0</v>
      </c>
      <c r="M34" s="13">
        <f t="shared" si="0"/>
        <v>1</v>
      </c>
      <c r="N34" s="4" t="s">
        <v>117</v>
      </c>
      <c r="O34" s="4" t="s">
        <v>172</v>
      </c>
      <c r="P34" s="4"/>
    </row>
    <row r="35" spans="1:16" ht="52.5" customHeight="1" x14ac:dyDescent="0.3">
      <c r="A35" s="4" t="s">
        <v>242</v>
      </c>
      <c r="B35" s="4" t="s">
        <v>243</v>
      </c>
      <c r="C35" s="4" t="s">
        <v>230</v>
      </c>
      <c r="D35" s="4" t="s">
        <v>126</v>
      </c>
      <c r="E35" s="4" t="s">
        <v>126</v>
      </c>
      <c r="F35" s="4" t="s">
        <v>67</v>
      </c>
      <c r="G35" s="4" t="s">
        <v>70</v>
      </c>
      <c r="H35" s="4" t="s">
        <v>166</v>
      </c>
      <c r="I35" s="4">
        <v>0</v>
      </c>
      <c r="J35" s="4">
        <v>18</v>
      </c>
      <c r="K35" s="4">
        <v>18</v>
      </c>
      <c r="L35" s="4">
        <v>0</v>
      </c>
      <c r="M35" s="13">
        <f t="shared" si="0"/>
        <v>1</v>
      </c>
      <c r="N35" s="4" t="s">
        <v>117</v>
      </c>
      <c r="O35" s="4" t="s">
        <v>167</v>
      </c>
      <c r="P35" s="4" t="s">
        <v>230</v>
      </c>
    </row>
    <row r="36" spans="1:16" ht="39" customHeight="1" x14ac:dyDescent="0.3">
      <c r="A36" s="4" t="s">
        <v>244</v>
      </c>
      <c r="B36" s="4" t="s">
        <v>245</v>
      </c>
      <c r="C36" s="4" t="s">
        <v>175</v>
      </c>
      <c r="D36" s="4" t="s">
        <v>126</v>
      </c>
      <c r="E36" s="4" t="s">
        <v>126</v>
      </c>
      <c r="F36" s="4" t="s">
        <v>98</v>
      </c>
      <c r="G36" s="4" t="s">
        <v>76</v>
      </c>
      <c r="H36" s="4" t="s">
        <v>166</v>
      </c>
      <c r="I36" s="4">
        <v>20</v>
      </c>
      <c r="J36" s="4">
        <v>24</v>
      </c>
      <c r="K36" s="4">
        <v>36</v>
      </c>
      <c r="L36" s="4">
        <v>0</v>
      </c>
      <c r="M36" s="13">
        <f t="shared" si="0"/>
        <v>1</v>
      </c>
      <c r="N36" s="4" t="s">
        <v>117</v>
      </c>
      <c r="O36" s="4" t="s">
        <v>172</v>
      </c>
      <c r="P36" s="4"/>
    </row>
    <row r="37" spans="1:16" ht="14.25" customHeight="1" x14ac:dyDescent="0.3">
      <c r="A37" s="4" t="s">
        <v>246</v>
      </c>
      <c r="B37" s="4" t="s">
        <v>247</v>
      </c>
      <c r="C37" s="4" t="s">
        <v>175</v>
      </c>
      <c r="D37" s="4" t="s">
        <v>126</v>
      </c>
      <c r="E37" s="4" t="s">
        <v>126</v>
      </c>
      <c r="F37" s="4" t="s">
        <v>73</v>
      </c>
      <c r="G37" s="4" t="s">
        <v>76</v>
      </c>
      <c r="H37" s="4" t="s">
        <v>166</v>
      </c>
      <c r="I37" s="4">
        <v>20</v>
      </c>
      <c r="J37" s="4">
        <v>24</v>
      </c>
      <c r="K37" s="4">
        <v>25</v>
      </c>
      <c r="L37" s="4">
        <v>0</v>
      </c>
      <c r="M37" s="13">
        <f t="shared" si="0"/>
        <v>1</v>
      </c>
      <c r="N37" s="4" t="s">
        <v>117</v>
      </c>
      <c r="O37" s="4" t="s">
        <v>172</v>
      </c>
      <c r="P37" s="4"/>
    </row>
    <row r="38" spans="1:16" ht="14.25" customHeight="1" x14ac:dyDescent="0.3">
      <c r="A38" s="4" t="s">
        <v>248</v>
      </c>
      <c r="B38" s="4" t="s">
        <v>249</v>
      </c>
      <c r="C38" s="4" t="s">
        <v>175</v>
      </c>
      <c r="D38" s="4" t="s">
        <v>126</v>
      </c>
      <c r="E38" s="4" t="s">
        <v>126</v>
      </c>
      <c r="F38" s="4" t="s">
        <v>60</v>
      </c>
      <c r="G38" s="4" t="s">
        <v>62</v>
      </c>
      <c r="H38" s="4" t="s">
        <v>181</v>
      </c>
      <c r="I38" s="4">
        <v>16</v>
      </c>
      <c r="J38" s="4">
        <v>20</v>
      </c>
      <c r="K38" s="4">
        <v>21</v>
      </c>
      <c r="L38" s="4">
        <v>0</v>
      </c>
      <c r="M38" s="13">
        <f t="shared" si="0"/>
        <v>1</v>
      </c>
      <c r="N38" s="4" t="s">
        <v>117</v>
      </c>
      <c r="O38" s="4" t="s">
        <v>172</v>
      </c>
      <c r="P38" s="4"/>
    </row>
    <row r="39" spans="1:16" ht="39" customHeight="1" x14ac:dyDescent="0.3">
      <c r="A39" s="4" t="s">
        <v>250</v>
      </c>
      <c r="B39" s="4" t="s">
        <v>251</v>
      </c>
      <c r="C39" s="4" t="s">
        <v>171</v>
      </c>
      <c r="D39" s="4" t="s">
        <v>126</v>
      </c>
      <c r="E39" s="4" t="s">
        <v>126</v>
      </c>
      <c r="F39" s="4" t="s">
        <v>104</v>
      </c>
      <c r="G39" s="4" t="s">
        <v>85</v>
      </c>
      <c r="H39" s="4" t="s">
        <v>181</v>
      </c>
      <c r="I39" s="4">
        <v>16</v>
      </c>
      <c r="J39" s="4">
        <v>16</v>
      </c>
      <c r="K39" s="4">
        <v>28</v>
      </c>
      <c r="L39" s="4">
        <v>0</v>
      </c>
      <c r="M39" s="13">
        <f t="shared" si="0"/>
        <v>1</v>
      </c>
      <c r="N39" s="4" t="s">
        <v>117</v>
      </c>
      <c r="O39" s="4" t="s">
        <v>172</v>
      </c>
      <c r="P39" s="4"/>
    </row>
    <row r="40" spans="1:16" ht="14.25" customHeight="1" x14ac:dyDescent="0.3">
      <c r="A40" s="4" t="s">
        <v>252</v>
      </c>
      <c r="B40" s="4" t="s">
        <v>253</v>
      </c>
      <c r="C40" s="4" t="s">
        <v>171</v>
      </c>
      <c r="D40" s="4" t="s">
        <v>126</v>
      </c>
      <c r="E40" s="4" t="s">
        <v>126</v>
      </c>
      <c r="F40" s="4" t="s">
        <v>93</v>
      </c>
      <c r="G40" s="4" t="s">
        <v>95</v>
      </c>
      <c r="H40" s="4" t="s">
        <v>194</v>
      </c>
      <c r="I40" s="4">
        <v>8</v>
      </c>
      <c r="J40" s="4">
        <v>8</v>
      </c>
      <c r="K40" s="4">
        <v>8</v>
      </c>
      <c r="L40" s="4">
        <v>0</v>
      </c>
      <c r="M40" s="13">
        <f t="shared" si="0"/>
        <v>1</v>
      </c>
      <c r="N40" s="4" t="s">
        <v>117</v>
      </c>
      <c r="O40" s="4" t="s">
        <v>172</v>
      </c>
      <c r="P40" s="4"/>
    </row>
    <row r="41" spans="1:16" ht="26.25" customHeight="1" x14ac:dyDescent="0.3">
      <c r="A41" s="4" t="s">
        <v>254</v>
      </c>
      <c r="B41" s="4" t="s">
        <v>255</v>
      </c>
      <c r="C41" s="4" t="s">
        <v>165</v>
      </c>
      <c r="D41" s="4" t="s">
        <v>130</v>
      </c>
      <c r="E41" s="4" t="s">
        <v>126</v>
      </c>
      <c r="F41" s="4" t="s">
        <v>78</v>
      </c>
      <c r="G41" s="4" t="s">
        <v>80</v>
      </c>
      <c r="H41" s="4" t="s">
        <v>166</v>
      </c>
      <c r="I41" s="4">
        <v>28</v>
      </c>
      <c r="J41" s="4">
        <v>36</v>
      </c>
      <c r="K41" s="4">
        <v>38</v>
      </c>
      <c r="L41" s="4">
        <v>0</v>
      </c>
      <c r="M41" s="13">
        <f t="shared" si="0"/>
        <v>1</v>
      </c>
      <c r="N41" s="4" t="s">
        <v>117</v>
      </c>
      <c r="O41" s="4" t="s">
        <v>172</v>
      </c>
      <c r="P41" s="4"/>
    </row>
    <row r="42" spans="1:16" ht="14.25" customHeight="1" x14ac:dyDescent="0.3">
      <c r="A42" s="4" t="s">
        <v>256</v>
      </c>
      <c r="B42" s="4" t="s">
        <v>257</v>
      </c>
      <c r="C42" s="4" t="s">
        <v>171</v>
      </c>
      <c r="D42" s="4" t="s">
        <v>130</v>
      </c>
      <c r="E42" s="4" t="s">
        <v>126</v>
      </c>
      <c r="F42" s="4" t="s">
        <v>60</v>
      </c>
      <c r="G42" s="4" t="s">
        <v>62</v>
      </c>
      <c r="H42" s="4" t="s">
        <v>181</v>
      </c>
      <c r="I42" s="4">
        <v>12</v>
      </c>
      <c r="J42" s="4">
        <v>16</v>
      </c>
      <c r="K42" s="4">
        <v>17</v>
      </c>
      <c r="L42" s="4">
        <v>0</v>
      </c>
      <c r="M42" s="13">
        <f t="shared" si="0"/>
        <v>1</v>
      </c>
      <c r="N42" s="4" t="s">
        <v>117</v>
      </c>
      <c r="O42" s="4" t="s">
        <v>172</v>
      </c>
      <c r="P42" s="4"/>
    </row>
    <row r="43" spans="1:16" ht="26.25" customHeight="1" x14ac:dyDescent="0.3">
      <c r="A43" s="4" t="s">
        <v>258</v>
      </c>
      <c r="B43" s="4" t="s">
        <v>259</v>
      </c>
      <c r="C43" s="4" t="s">
        <v>230</v>
      </c>
      <c r="D43" s="4" t="s">
        <v>130</v>
      </c>
      <c r="E43" s="4" t="s">
        <v>126</v>
      </c>
      <c r="F43" s="4" t="s">
        <v>60</v>
      </c>
      <c r="G43" s="4" t="s">
        <v>62</v>
      </c>
      <c r="H43" s="4" t="s">
        <v>166</v>
      </c>
      <c r="I43" s="4">
        <v>12</v>
      </c>
      <c r="J43" s="4">
        <v>12</v>
      </c>
      <c r="K43" s="4">
        <v>14</v>
      </c>
      <c r="L43" s="4">
        <v>0</v>
      </c>
      <c r="M43" s="13">
        <f t="shared" si="0"/>
        <v>1</v>
      </c>
      <c r="N43" s="4" t="s">
        <v>117</v>
      </c>
      <c r="O43" s="4" t="s">
        <v>172</v>
      </c>
      <c r="P43" s="4"/>
    </row>
    <row r="44" spans="1:16" ht="26.25" customHeight="1" x14ac:dyDescent="0.3">
      <c r="A44" s="4" t="s">
        <v>260</v>
      </c>
      <c r="B44" s="4" t="s">
        <v>261</v>
      </c>
      <c r="C44" s="4" t="s">
        <v>165</v>
      </c>
      <c r="D44" s="4" t="s">
        <v>130</v>
      </c>
      <c r="E44" s="4" t="s">
        <v>130</v>
      </c>
      <c r="F44" s="4" t="s">
        <v>88</v>
      </c>
      <c r="G44" s="4" t="s">
        <v>91</v>
      </c>
      <c r="H44" s="4" t="s">
        <v>166</v>
      </c>
      <c r="I44" s="4">
        <v>40</v>
      </c>
      <c r="J44" s="4">
        <v>44</v>
      </c>
      <c r="K44" s="4">
        <v>58</v>
      </c>
      <c r="L44" s="4">
        <v>0</v>
      </c>
      <c r="M44" s="13">
        <f t="shared" si="0"/>
        <v>1</v>
      </c>
      <c r="N44" s="4" t="s">
        <v>117</v>
      </c>
      <c r="O44" s="4" t="s">
        <v>172</v>
      </c>
      <c r="P44" s="4"/>
    </row>
    <row r="45" spans="1:16" ht="14.25" customHeight="1" x14ac:dyDescent="0.3">
      <c r="A45" s="4" t="s">
        <v>262</v>
      </c>
      <c r="B45" s="4" t="s">
        <v>263</v>
      </c>
      <c r="C45" s="4" t="s">
        <v>165</v>
      </c>
      <c r="D45" s="4" t="s">
        <v>130</v>
      </c>
      <c r="E45" s="4" t="s">
        <v>130</v>
      </c>
      <c r="F45" s="4" t="s">
        <v>88</v>
      </c>
      <c r="G45" s="4" t="s">
        <v>90</v>
      </c>
      <c r="H45" s="4" t="s">
        <v>166</v>
      </c>
      <c r="I45" s="4">
        <v>36</v>
      </c>
      <c r="J45" s="4">
        <v>44</v>
      </c>
      <c r="K45" s="4">
        <v>52</v>
      </c>
      <c r="L45" s="4">
        <v>0</v>
      </c>
      <c r="M45" s="13">
        <f t="shared" si="0"/>
        <v>1</v>
      </c>
      <c r="N45" s="4" t="s">
        <v>117</v>
      </c>
      <c r="O45" s="4" t="s">
        <v>167</v>
      </c>
      <c r="P45" s="4" t="s">
        <v>178</v>
      </c>
    </row>
    <row r="46" spans="1:16" ht="26.25" customHeight="1" x14ac:dyDescent="0.3">
      <c r="A46" s="4" t="s">
        <v>264</v>
      </c>
      <c r="B46" s="4" t="s">
        <v>265</v>
      </c>
      <c r="C46" s="4" t="s">
        <v>175</v>
      </c>
      <c r="D46" s="4" t="s">
        <v>130</v>
      </c>
      <c r="E46" s="4" t="s">
        <v>130</v>
      </c>
      <c r="F46" s="4" t="s">
        <v>88</v>
      </c>
      <c r="G46" s="4" t="s">
        <v>91</v>
      </c>
      <c r="H46" s="4" t="s">
        <v>166</v>
      </c>
      <c r="I46" s="4">
        <v>24</v>
      </c>
      <c r="J46" s="4">
        <v>28</v>
      </c>
      <c r="K46" s="4">
        <v>32</v>
      </c>
      <c r="L46" s="4">
        <v>0</v>
      </c>
      <c r="M46" s="13">
        <f t="shared" si="0"/>
        <v>1</v>
      </c>
      <c r="N46" s="4" t="s">
        <v>117</v>
      </c>
      <c r="O46" s="4" t="s">
        <v>172</v>
      </c>
      <c r="P46" s="4"/>
    </row>
    <row r="47" spans="1:16" ht="39" customHeight="1" x14ac:dyDescent="0.3">
      <c r="A47" s="4" t="s">
        <v>266</v>
      </c>
      <c r="B47" s="4" t="s">
        <v>267</v>
      </c>
      <c r="C47" s="4" t="s">
        <v>175</v>
      </c>
      <c r="D47" s="4" t="s">
        <v>134</v>
      </c>
      <c r="E47" s="4" t="s">
        <v>130</v>
      </c>
      <c r="F47" s="4" t="s">
        <v>88</v>
      </c>
      <c r="G47" s="4" t="s">
        <v>90</v>
      </c>
      <c r="H47" s="4" t="s">
        <v>166</v>
      </c>
      <c r="I47" s="4">
        <v>28</v>
      </c>
      <c r="J47" s="4">
        <v>32</v>
      </c>
      <c r="K47" s="4">
        <v>0</v>
      </c>
      <c r="L47" s="4">
        <f>J47-K47</f>
        <v>32</v>
      </c>
      <c r="M47" s="13">
        <f>IFERROR(K47/J47,0)</f>
        <v>0</v>
      </c>
      <c r="N47" s="4" t="s">
        <v>143</v>
      </c>
      <c r="O47" s="4" t="s">
        <v>172</v>
      </c>
      <c r="P47" s="4"/>
    </row>
    <row r="48" spans="1:16" ht="39" customHeight="1" x14ac:dyDescent="0.3">
      <c r="A48" s="4" t="s">
        <v>268</v>
      </c>
      <c r="B48" s="4" t="s">
        <v>269</v>
      </c>
      <c r="C48" s="4" t="s">
        <v>171</v>
      </c>
      <c r="D48" s="4" t="s">
        <v>130</v>
      </c>
      <c r="E48" s="4" t="s">
        <v>130</v>
      </c>
      <c r="F48" s="4" t="s">
        <v>104</v>
      </c>
      <c r="G48" s="4" t="s">
        <v>85</v>
      </c>
      <c r="H48" s="4" t="s">
        <v>166</v>
      </c>
      <c r="I48" s="4">
        <v>20</v>
      </c>
      <c r="J48" s="4">
        <v>20</v>
      </c>
      <c r="K48" s="4">
        <v>39</v>
      </c>
      <c r="L48" s="4">
        <v>0</v>
      </c>
      <c r="M48" s="13">
        <f>MIN(IFERROR(K48/J48,0),1)</f>
        <v>1</v>
      </c>
      <c r="N48" s="4" t="s">
        <v>117</v>
      </c>
      <c r="O48" s="4" t="s">
        <v>172</v>
      </c>
      <c r="P48" s="4"/>
    </row>
    <row r="49" spans="1:16" ht="26.25" customHeight="1" x14ac:dyDescent="0.3">
      <c r="A49" s="4" t="s">
        <v>270</v>
      </c>
      <c r="B49" s="4" t="s">
        <v>271</v>
      </c>
      <c r="C49" s="4" t="s">
        <v>175</v>
      </c>
      <c r="D49" s="4" t="s">
        <v>130</v>
      </c>
      <c r="E49" s="4" t="s">
        <v>130</v>
      </c>
      <c r="F49" s="4" t="s">
        <v>88</v>
      </c>
      <c r="G49" s="4" t="s">
        <v>90</v>
      </c>
      <c r="H49" s="4" t="s">
        <v>166</v>
      </c>
      <c r="I49" s="4">
        <v>20</v>
      </c>
      <c r="J49" s="4">
        <v>24</v>
      </c>
      <c r="K49" s="4">
        <v>26</v>
      </c>
      <c r="L49" s="4">
        <v>0</v>
      </c>
      <c r="M49" s="13">
        <f>MIN(IFERROR(K49/J49,0),1)</f>
        <v>1</v>
      </c>
      <c r="N49" s="4" t="s">
        <v>117</v>
      </c>
      <c r="O49" s="4" t="s">
        <v>172</v>
      </c>
      <c r="P49" s="4"/>
    </row>
    <row r="50" spans="1:16" ht="26.25" customHeight="1" x14ac:dyDescent="0.3">
      <c r="A50" s="4" t="s">
        <v>272</v>
      </c>
      <c r="B50" s="4" t="s">
        <v>273</v>
      </c>
      <c r="C50" s="4" t="s">
        <v>175</v>
      </c>
      <c r="D50" s="4" t="s">
        <v>134</v>
      </c>
      <c r="E50" s="4" t="s">
        <v>130</v>
      </c>
      <c r="F50" s="4" t="s">
        <v>88</v>
      </c>
      <c r="G50" s="4" t="s">
        <v>90</v>
      </c>
      <c r="H50" s="4" t="s">
        <v>181</v>
      </c>
      <c r="I50" s="4">
        <v>16</v>
      </c>
      <c r="J50" s="4">
        <v>20</v>
      </c>
      <c r="K50" s="4">
        <v>0</v>
      </c>
      <c r="L50" s="4">
        <f>J50-K50</f>
        <v>20</v>
      </c>
      <c r="M50" s="13">
        <f>IFERROR(K50/J50,0)</f>
        <v>0</v>
      </c>
      <c r="N50" s="4" t="s">
        <v>143</v>
      </c>
      <c r="O50" s="4" t="s">
        <v>172</v>
      </c>
      <c r="P50" s="4"/>
    </row>
    <row r="51" spans="1:16" ht="39" customHeight="1" x14ac:dyDescent="0.3">
      <c r="A51" s="4" t="s">
        <v>274</v>
      </c>
      <c r="B51" s="4" t="s">
        <v>275</v>
      </c>
      <c r="C51" s="4" t="s">
        <v>175</v>
      </c>
      <c r="D51" s="4" t="s">
        <v>130</v>
      </c>
      <c r="E51" s="4" t="s">
        <v>130</v>
      </c>
      <c r="F51" s="4" t="s">
        <v>98</v>
      </c>
      <c r="G51" s="4" t="s">
        <v>102</v>
      </c>
      <c r="H51" s="4" t="s">
        <v>181</v>
      </c>
      <c r="I51" s="4">
        <v>20</v>
      </c>
      <c r="J51" s="4">
        <v>24</v>
      </c>
      <c r="K51" s="4">
        <v>41</v>
      </c>
      <c r="L51" s="4">
        <v>0</v>
      </c>
      <c r="M51" s="13">
        <f>MIN(IFERROR(K51/J51,0),1)</f>
        <v>1</v>
      </c>
      <c r="N51" s="4" t="s">
        <v>117</v>
      </c>
      <c r="O51" s="4" t="s">
        <v>172</v>
      </c>
      <c r="P51" s="4"/>
    </row>
    <row r="52" spans="1:16" ht="14.25" customHeight="1" x14ac:dyDescent="0.3">
      <c r="A52" s="4" t="s">
        <v>276</v>
      </c>
      <c r="B52" s="4" t="s">
        <v>277</v>
      </c>
      <c r="C52" s="4" t="s">
        <v>186</v>
      </c>
      <c r="D52" s="4" t="s">
        <v>130</v>
      </c>
      <c r="E52" s="4" t="s">
        <v>130</v>
      </c>
      <c r="F52" s="4" t="s">
        <v>78</v>
      </c>
      <c r="G52" s="4" t="s">
        <v>80</v>
      </c>
      <c r="H52" s="4" t="s">
        <v>166</v>
      </c>
      <c r="I52" s="4">
        <v>16</v>
      </c>
      <c r="J52" s="4">
        <v>20</v>
      </c>
      <c r="K52" s="4">
        <v>21</v>
      </c>
      <c r="L52" s="4">
        <v>0</v>
      </c>
      <c r="M52" s="13">
        <f>MIN(IFERROR(K52/J52,0),1)</f>
        <v>1</v>
      </c>
      <c r="N52" s="4" t="s">
        <v>117</v>
      </c>
      <c r="O52" s="4" t="s">
        <v>172</v>
      </c>
      <c r="P52" s="4"/>
    </row>
    <row r="53" spans="1:16" ht="26.25" customHeight="1" x14ac:dyDescent="0.3">
      <c r="A53" s="4" t="s">
        <v>278</v>
      </c>
      <c r="B53" s="4" t="s">
        <v>279</v>
      </c>
      <c r="C53" s="4" t="s">
        <v>171</v>
      </c>
      <c r="D53" s="4" t="s">
        <v>130</v>
      </c>
      <c r="E53" s="4" t="s">
        <v>130</v>
      </c>
      <c r="F53" s="4" t="s">
        <v>93</v>
      </c>
      <c r="G53" s="4" t="s">
        <v>95</v>
      </c>
      <c r="H53" s="4" t="s">
        <v>194</v>
      </c>
      <c r="I53" s="4">
        <v>8</v>
      </c>
      <c r="J53" s="4">
        <v>8</v>
      </c>
      <c r="K53" s="4">
        <v>9</v>
      </c>
      <c r="L53" s="4">
        <v>0</v>
      </c>
      <c r="M53" s="13">
        <f>MIN(IFERROR(K53/J53,0),1)</f>
        <v>1</v>
      </c>
      <c r="N53" s="4" t="s">
        <v>117</v>
      </c>
      <c r="O53" s="4" t="s">
        <v>172</v>
      </c>
      <c r="P53" s="4"/>
    </row>
    <row r="54" spans="1:16" ht="66" customHeight="1" x14ac:dyDescent="0.3">
      <c r="A54" s="4" t="s">
        <v>280</v>
      </c>
      <c r="B54" s="4" t="s">
        <v>281</v>
      </c>
      <c r="C54" s="4" t="s">
        <v>165</v>
      </c>
      <c r="D54" s="4" t="s">
        <v>134</v>
      </c>
      <c r="E54" s="4" t="s">
        <v>134</v>
      </c>
      <c r="F54" s="4" t="s">
        <v>98</v>
      </c>
      <c r="G54" s="4" t="s">
        <v>100</v>
      </c>
      <c r="H54" s="4" t="s">
        <v>166</v>
      </c>
      <c r="I54" s="4">
        <v>36</v>
      </c>
      <c r="J54" s="4">
        <v>40</v>
      </c>
      <c r="K54" s="4">
        <v>0</v>
      </c>
      <c r="L54" s="4">
        <f t="shared" ref="L54:L72" si="1">J54-K54</f>
        <v>40</v>
      </c>
      <c r="M54" s="13">
        <f t="shared" ref="M54:M72" si="2">IFERROR(K54/J54,0)</f>
        <v>0</v>
      </c>
      <c r="N54" s="4" t="s">
        <v>143</v>
      </c>
      <c r="O54" s="4" t="s">
        <v>172</v>
      </c>
      <c r="P54" s="4"/>
    </row>
    <row r="55" spans="1:16" ht="26.25" customHeight="1" x14ac:dyDescent="0.3">
      <c r="A55" s="4" t="s">
        <v>282</v>
      </c>
      <c r="B55" s="4" t="s">
        <v>283</v>
      </c>
      <c r="C55" s="4" t="s">
        <v>165</v>
      </c>
      <c r="D55" s="4" t="s">
        <v>134</v>
      </c>
      <c r="E55" s="4" t="s">
        <v>134</v>
      </c>
      <c r="F55" s="4" t="s">
        <v>98</v>
      </c>
      <c r="G55" s="4" t="s">
        <v>101</v>
      </c>
      <c r="H55" s="4" t="s">
        <v>166</v>
      </c>
      <c r="I55" s="4">
        <v>32</v>
      </c>
      <c r="J55" s="4">
        <v>32</v>
      </c>
      <c r="K55" s="4">
        <v>0</v>
      </c>
      <c r="L55" s="4">
        <f t="shared" si="1"/>
        <v>32</v>
      </c>
      <c r="M55" s="13">
        <f t="shared" si="2"/>
        <v>0</v>
      </c>
      <c r="N55" s="4" t="s">
        <v>143</v>
      </c>
      <c r="O55" s="4" t="s">
        <v>172</v>
      </c>
      <c r="P55" s="4"/>
    </row>
    <row r="56" spans="1:16" ht="26.25" customHeight="1" x14ac:dyDescent="0.3">
      <c r="A56" s="4" t="s">
        <v>284</v>
      </c>
      <c r="B56" s="4" t="s">
        <v>285</v>
      </c>
      <c r="C56" s="4" t="s">
        <v>175</v>
      </c>
      <c r="D56" s="4" t="s">
        <v>134</v>
      </c>
      <c r="E56" s="4" t="s">
        <v>134</v>
      </c>
      <c r="F56" s="4" t="s">
        <v>98</v>
      </c>
      <c r="G56" s="4" t="s">
        <v>100</v>
      </c>
      <c r="H56" s="4" t="s">
        <v>166</v>
      </c>
      <c r="I56" s="4">
        <v>24</v>
      </c>
      <c r="J56" s="4">
        <v>28</v>
      </c>
      <c r="K56" s="4">
        <v>0</v>
      </c>
      <c r="L56" s="4">
        <f t="shared" si="1"/>
        <v>28</v>
      </c>
      <c r="M56" s="13">
        <f t="shared" si="2"/>
        <v>0</v>
      </c>
      <c r="N56" s="4" t="s">
        <v>143</v>
      </c>
      <c r="O56" s="4" t="s">
        <v>172</v>
      </c>
      <c r="P56" s="4"/>
    </row>
    <row r="57" spans="1:16" ht="14.25" customHeight="1" x14ac:dyDescent="0.3">
      <c r="A57" s="4" t="s">
        <v>286</v>
      </c>
      <c r="B57" s="4" t="s">
        <v>287</v>
      </c>
      <c r="C57" s="4" t="s">
        <v>175</v>
      </c>
      <c r="D57" s="4" t="s">
        <v>134</v>
      </c>
      <c r="E57" s="4" t="s">
        <v>134</v>
      </c>
      <c r="F57" s="4" t="s">
        <v>88</v>
      </c>
      <c r="G57" s="4" t="s">
        <v>101</v>
      </c>
      <c r="H57" s="4" t="s">
        <v>166</v>
      </c>
      <c r="I57" s="4">
        <v>20</v>
      </c>
      <c r="J57" s="4">
        <v>24</v>
      </c>
      <c r="K57" s="4">
        <v>0</v>
      </c>
      <c r="L57" s="4">
        <f t="shared" si="1"/>
        <v>24</v>
      </c>
      <c r="M57" s="13">
        <f t="shared" si="2"/>
        <v>0</v>
      </c>
      <c r="N57" s="4" t="s">
        <v>143</v>
      </c>
      <c r="O57" s="4" t="s">
        <v>172</v>
      </c>
      <c r="P57" s="4"/>
    </row>
    <row r="58" spans="1:16" ht="14.25" customHeight="1" x14ac:dyDescent="0.3">
      <c r="A58" s="4" t="s">
        <v>288</v>
      </c>
      <c r="B58" s="4" t="s">
        <v>289</v>
      </c>
      <c r="C58" s="4" t="s">
        <v>175</v>
      </c>
      <c r="D58" s="4" t="s">
        <v>134</v>
      </c>
      <c r="E58" s="4" t="s">
        <v>134</v>
      </c>
      <c r="F58" s="4" t="s">
        <v>98</v>
      </c>
      <c r="G58" s="4" t="s">
        <v>100</v>
      </c>
      <c r="H58" s="4" t="s">
        <v>181</v>
      </c>
      <c r="I58" s="4">
        <v>16</v>
      </c>
      <c r="J58" s="4">
        <v>20</v>
      </c>
      <c r="K58" s="4">
        <v>0</v>
      </c>
      <c r="L58" s="4">
        <f t="shared" si="1"/>
        <v>20</v>
      </c>
      <c r="M58" s="13">
        <f t="shared" si="2"/>
        <v>0</v>
      </c>
      <c r="N58" s="4" t="s">
        <v>143</v>
      </c>
      <c r="O58" s="4" t="s">
        <v>172</v>
      </c>
      <c r="P58" s="4"/>
    </row>
    <row r="59" spans="1:16" ht="14.25" customHeight="1" x14ac:dyDescent="0.3">
      <c r="A59" s="4" t="s">
        <v>290</v>
      </c>
      <c r="B59" s="4" t="s">
        <v>291</v>
      </c>
      <c r="C59" s="4" t="s">
        <v>186</v>
      </c>
      <c r="D59" s="4" t="s">
        <v>134</v>
      </c>
      <c r="E59" s="4" t="s">
        <v>134</v>
      </c>
      <c r="F59" s="4" t="s">
        <v>98</v>
      </c>
      <c r="G59" s="4" t="s">
        <v>101</v>
      </c>
      <c r="H59" s="4" t="s">
        <v>181</v>
      </c>
      <c r="I59" s="4">
        <v>16</v>
      </c>
      <c r="J59" s="4">
        <v>16</v>
      </c>
      <c r="K59" s="4">
        <v>0</v>
      </c>
      <c r="L59" s="4">
        <f t="shared" si="1"/>
        <v>16</v>
      </c>
      <c r="M59" s="13">
        <f t="shared" si="2"/>
        <v>0</v>
      </c>
      <c r="N59" s="4" t="s">
        <v>143</v>
      </c>
      <c r="O59" s="4" t="s">
        <v>172</v>
      </c>
      <c r="P59" s="4"/>
    </row>
    <row r="60" spans="1:16" ht="14.25" customHeight="1" x14ac:dyDescent="0.3">
      <c r="A60" s="4" t="s">
        <v>292</v>
      </c>
      <c r="B60" s="4" t="s">
        <v>293</v>
      </c>
      <c r="C60" s="4" t="s">
        <v>171</v>
      </c>
      <c r="D60" s="4" t="s">
        <v>134</v>
      </c>
      <c r="E60" s="4" t="s">
        <v>134</v>
      </c>
      <c r="F60" s="4" t="s">
        <v>93</v>
      </c>
      <c r="G60" s="4" t="s">
        <v>95</v>
      </c>
      <c r="H60" s="4" t="s">
        <v>194</v>
      </c>
      <c r="I60" s="4">
        <v>8</v>
      </c>
      <c r="J60" s="4">
        <v>8</v>
      </c>
      <c r="K60" s="4">
        <v>0</v>
      </c>
      <c r="L60" s="4">
        <f t="shared" si="1"/>
        <v>8</v>
      </c>
      <c r="M60" s="13">
        <f t="shared" si="2"/>
        <v>0</v>
      </c>
      <c r="N60" s="4" t="s">
        <v>143</v>
      </c>
      <c r="O60" s="4" t="s">
        <v>172</v>
      </c>
      <c r="P60" s="4"/>
    </row>
    <row r="61" spans="1:16" ht="26.25" customHeight="1" x14ac:dyDescent="0.3">
      <c r="A61" s="4" t="s">
        <v>294</v>
      </c>
      <c r="B61" s="4" t="s">
        <v>295</v>
      </c>
      <c r="C61" s="4" t="s">
        <v>165</v>
      </c>
      <c r="D61" s="4" t="s">
        <v>139</v>
      </c>
      <c r="E61" s="4" t="s">
        <v>139</v>
      </c>
      <c r="F61" s="4" t="s">
        <v>83</v>
      </c>
      <c r="G61" s="4" t="s">
        <v>85</v>
      </c>
      <c r="H61" s="4" t="s">
        <v>166</v>
      </c>
      <c r="I61" s="4">
        <v>48</v>
      </c>
      <c r="J61" s="4">
        <v>56</v>
      </c>
      <c r="K61" s="4">
        <v>0</v>
      </c>
      <c r="L61" s="4">
        <f t="shared" si="1"/>
        <v>56</v>
      </c>
      <c r="M61" s="13">
        <f t="shared" si="2"/>
        <v>0</v>
      </c>
      <c r="N61" s="4" t="s">
        <v>143</v>
      </c>
      <c r="O61" s="4" t="s">
        <v>172</v>
      </c>
      <c r="P61" s="4"/>
    </row>
    <row r="62" spans="1:16" ht="14.25" customHeight="1" x14ac:dyDescent="0.3">
      <c r="A62" s="4" t="s">
        <v>296</v>
      </c>
      <c r="B62" s="4" t="s">
        <v>297</v>
      </c>
      <c r="C62" s="4" t="s">
        <v>165</v>
      </c>
      <c r="D62" s="4" t="s">
        <v>139</v>
      </c>
      <c r="E62" s="4" t="s">
        <v>139</v>
      </c>
      <c r="F62" s="4" t="s">
        <v>78</v>
      </c>
      <c r="G62" s="4" t="s">
        <v>80</v>
      </c>
      <c r="H62" s="4" t="s">
        <v>166</v>
      </c>
      <c r="I62" s="4">
        <v>36</v>
      </c>
      <c r="J62" s="4">
        <v>36</v>
      </c>
      <c r="K62" s="4">
        <v>0</v>
      </c>
      <c r="L62" s="4">
        <f t="shared" si="1"/>
        <v>36</v>
      </c>
      <c r="M62" s="13">
        <f t="shared" si="2"/>
        <v>0</v>
      </c>
      <c r="N62" s="4" t="s">
        <v>143</v>
      </c>
      <c r="O62" s="4" t="s">
        <v>172</v>
      </c>
      <c r="P62" s="4"/>
    </row>
    <row r="63" spans="1:16" ht="26.25" customHeight="1" x14ac:dyDescent="0.3">
      <c r="A63" s="4" t="s">
        <v>298</v>
      </c>
      <c r="B63" s="4" t="s">
        <v>299</v>
      </c>
      <c r="C63" s="4" t="s">
        <v>171</v>
      </c>
      <c r="D63" s="4" t="s">
        <v>139</v>
      </c>
      <c r="E63" s="4" t="s">
        <v>139</v>
      </c>
      <c r="F63" s="4" t="s">
        <v>83</v>
      </c>
      <c r="G63" s="4" t="s">
        <v>86</v>
      </c>
      <c r="H63" s="4" t="s">
        <v>166</v>
      </c>
      <c r="I63" s="4">
        <v>32</v>
      </c>
      <c r="J63" s="4">
        <v>36</v>
      </c>
      <c r="K63" s="4">
        <v>0</v>
      </c>
      <c r="L63" s="4">
        <f t="shared" si="1"/>
        <v>36</v>
      </c>
      <c r="M63" s="13">
        <f t="shared" si="2"/>
        <v>0</v>
      </c>
      <c r="N63" s="4" t="s">
        <v>143</v>
      </c>
      <c r="O63" s="4" t="s">
        <v>172</v>
      </c>
      <c r="P63" s="4"/>
    </row>
    <row r="64" spans="1:16" ht="14.25" customHeight="1" x14ac:dyDescent="0.3">
      <c r="A64" s="4" t="s">
        <v>300</v>
      </c>
      <c r="B64" s="4" t="s">
        <v>301</v>
      </c>
      <c r="C64" s="4" t="s">
        <v>175</v>
      </c>
      <c r="D64" s="4" t="s">
        <v>139</v>
      </c>
      <c r="E64" s="4" t="s">
        <v>139</v>
      </c>
      <c r="F64" s="4" t="s">
        <v>78</v>
      </c>
      <c r="G64" s="4" t="s">
        <v>80</v>
      </c>
      <c r="H64" s="4" t="s">
        <v>166</v>
      </c>
      <c r="I64" s="4">
        <v>24</v>
      </c>
      <c r="J64" s="4">
        <v>28</v>
      </c>
      <c r="K64" s="4">
        <v>0</v>
      </c>
      <c r="L64" s="4">
        <f t="shared" si="1"/>
        <v>28</v>
      </c>
      <c r="M64" s="13">
        <f t="shared" si="2"/>
        <v>0</v>
      </c>
      <c r="N64" s="4" t="s">
        <v>143</v>
      </c>
      <c r="O64" s="4" t="s">
        <v>172</v>
      </c>
      <c r="P64" s="4"/>
    </row>
    <row r="65" spans="1:16" ht="14.25" customHeight="1" x14ac:dyDescent="0.3">
      <c r="A65" s="4" t="s">
        <v>302</v>
      </c>
      <c r="B65" s="4" t="s">
        <v>303</v>
      </c>
      <c r="C65" s="4" t="s">
        <v>171</v>
      </c>
      <c r="D65" s="4" t="s">
        <v>139</v>
      </c>
      <c r="E65" s="4" t="s">
        <v>139</v>
      </c>
      <c r="F65" s="4" t="s">
        <v>104</v>
      </c>
      <c r="G65" s="4" t="s">
        <v>85</v>
      </c>
      <c r="H65" s="4" t="s">
        <v>166</v>
      </c>
      <c r="I65" s="4">
        <v>20</v>
      </c>
      <c r="J65" s="4">
        <v>20</v>
      </c>
      <c r="K65" s="4">
        <v>0</v>
      </c>
      <c r="L65" s="4">
        <f t="shared" si="1"/>
        <v>20</v>
      </c>
      <c r="M65" s="13">
        <f t="shared" si="2"/>
        <v>0</v>
      </c>
      <c r="N65" s="4" t="s">
        <v>143</v>
      </c>
      <c r="O65" s="4" t="s">
        <v>172</v>
      </c>
      <c r="P65" s="4"/>
    </row>
    <row r="66" spans="1:16" ht="14.25" customHeight="1" x14ac:dyDescent="0.3">
      <c r="A66" s="4" t="s">
        <v>304</v>
      </c>
      <c r="B66" s="4" t="s">
        <v>305</v>
      </c>
      <c r="C66" s="4" t="s">
        <v>171</v>
      </c>
      <c r="D66" s="4" t="s">
        <v>139</v>
      </c>
      <c r="E66" s="4" t="s">
        <v>139</v>
      </c>
      <c r="F66" s="4" t="s">
        <v>93</v>
      </c>
      <c r="G66" s="4" t="s">
        <v>95</v>
      </c>
      <c r="H66" s="4" t="s">
        <v>194</v>
      </c>
      <c r="I66" s="4">
        <v>8</v>
      </c>
      <c r="J66" s="4">
        <v>8</v>
      </c>
      <c r="K66" s="4">
        <v>0</v>
      </c>
      <c r="L66" s="4">
        <f t="shared" si="1"/>
        <v>8</v>
      </c>
      <c r="M66" s="13">
        <f t="shared" si="2"/>
        <v>0</v>
      </c>
      <c r="N66" s="4" t="s">
        <v>143</v>
      </c>
      <c r="O66" s="4" t="s">
        <v>172</v>
      </c>
      <c r="P66" s="4"/>
    </row>
    <row r="67" spans="1:16" ht="14.25" customHeight="1" x14ac:dyDescent="0.3">
      <c r="A67" s="4" t="s">
        <v>306</v>
      </c>
      <c r="B67" s="4" t="s">
        <v>307</v>
      </c>
      <c r="C67" s="4" t="s">
        <v>165</v>
      </c>
      <c r="D67" s="4" t="s">
        <v>144</v>
      </c>
      <c r="E67" s="4" t="s">
        <v>144</v>
      </c>
      <c r="F67" s="4" t="s">
        <v>60</v>
      </c>
      <c r="G67" s="4" t="s">
        <v>62</v>
      </c>
      <c r="H67" s="4" t="s">
        <v>166</v>
      </c>
      <c r="I67" s="4">
        <v>32</v>
      </c>
      <c r="J67" s="4">
        <v>36</v>
      </c>
      <c r="K67" s="4">
        <v>0</v>
      </c>
      <c r="L67" s="4">
        <f t="shared" si="1"/>
        <v>36</v>
      </c>
      <c r="M67" s="13">
        <f t="shared" si="2"/>
        <v>0</v>
      </c>
      <c r="N67" s="4" t="s">
        <v>143</v>
      </c>
      <c r="O67" s="4" t="s">
        <v>172</v>
      </c>
      <c r="P67" s="4"/>
    </row>
    <row r="68" spans="1:16" ht="14.25" customHeight="1" x14ac:dyDescent="0.3">
      <c r="A68" s="4" t="s">
        <v>308</v>
      </c>
      <c r="B68" s="4" t="s">
        <v>309</v>
      </c>
      <c r="C68" s="4" t="s">
        <v>165</v>
      </c>
      <c r="D68" s="4" t="s">
        <v>144</v>
      </c>
      <c r="E68" s="4" t="s">
        <v>144</v>
      </c>
      <c r="F68" s="4" t="s">
        <v>93</v>
      </c>
      <c r="G68" s="4" t="s">
        <v>95</v>
      </c>
      <c r="H68" s="4" t="s">
        <v>166</v>
      </c>
      <c r="I68" s="4">
        <v>24</v>
      </c>
      <c r="J68" s="4">
        <v>28</v>
      </c>
      <c r="K68" s="4">
        <v>0</v>
      </c>
      <c r="L68" s="4">
        <f t="shared" si="1"/>
        <v>28</v>
      </c>
      <c r="M68" s="13">
        <f t="shared" si="2"/>
        <v>0</v>
      </c>
      <c r="N68" s="4" t="s">
        <v>143</v>
      </c>
      <c r="O68" s="4" t="s">
        <v>172</v>
      </c>
      <c r="P68" s="4"/>
    </row>
    <row r="69" spans="1:16" ht="14.25" customHeight="1" x14ac:dyDescent="0.3">
      <c r="A69" s="4" t="s">
        <v>310</v>
      </c>
      <c r="B69" s="4" t="s">
        <v>311</v>
      </c>
      <c r="C69" s="4" t="s">
        <v>165</v>
      </c>
      <c r="D69" s="4" t="s">
        <v>144</v>
      </c>
      <c r="E69" s="4" t="s">
        <v>144</v>
      </c>
      <c r="F69" s="4" t="s">
        <v>98</v>
      </c>
      <c r="G69" s="4" t="s">
        <v>100</v>
      </c>
      <c r="H69" s="4" t="s">
        <v>166</v>
      </c>
      <c r="I69" s="4">
        <v>28</v>
      </c>
      <c r="J69" s="4">
        <v>32</v>
      </c>
      <c r="K69" s="4">
        <v>0</v>
      </c>
      <c r="L69" s="4">
        <f t="shared" si="1"/>
        <v>32</v>
      </c>
      <c r="M69" s="13">
        <f t="shared" si="2"/>
        <v>0</v>
      </c>
      <c r="N69" s="4" t="s">
        <v>143</v>
      </c>
      <c r="O69" s="4" t="s">
        <v>172</v>
      </c>
      <c r="P69" s="4"/>
    </row>
    <row r="70" spans="1:16" ht="26.25" customHeight="1" x14ac:dyDescent="0.3">
      <c r="A70" s="4" t="s">
        <v>312</v>
      </c>
      <c r="B70" s="4" t="s">
        <v>313</v>
      </c>
      <c r="C70" s="4" t="s">
        <v>171</v>
      </c>
      <c r="D70" s="4" t="s">
        <v>144</v>
      </c>
      <c r="E70" s="4" t="s">
        <v>144</v>
      </c>
      <c r="F70" s="4" t="s">
        <v>78</v>
      </c>
      <c r="G70" s="4" t="s">
        <v>80</v>
      </c>
      <c r="H70" s="4" t="s">
        <v>166</v>
      </c>
      <c r="I70" s="4">
        <v>16</v>
      </c>
      <c r="J70" s="4">
        <v>16</v>
      </c>
      <c r="K70" s="4">
        <v>0</v>
      </c>
      <c r="L70" s="4">
        <f t="shared" si="1"/>
        <v>16</v>
      </c>
      <c r="M70" s="13">
        <f t="shared" si="2"/>
        <v>0</v>
      </c>
      <c r="N70" s="4" t="s">
        <v>143</v>
      </c>
      <c r="O70" s="4" t="s">
        <v>172</v>
      </c>
      <c r="P70" s="4"/>
    </row>
    <row r="71" spans="1:16" ht="14.25" customHeight="1" x14ac:dyDescent="0.3">
      <c r="A71" s="4" t="s">
        <v>314</v>
      </c>
      <c r="B71" s="4" t="s">
        <v>315</v>
      </c>
      <c r="C71" s="4" t="s">
        <v>171</v>
      </c>
      <c r="D71" s="4" t="s">
        <v>144</v>
      </c>
      <c r="E71" s="4" t="s">
        <v>144</v>
      </c>
      <c r="F71" s="4" t="s">
        <v>60</v>
      </c>
      <c r="G71" s="4" t="s">
        <v>62</v>
      </c>
      <c r="H71" s="4" t="s">
        <v>181</v>
      </c>
      <c r="I71" s="4">
        <v>12</v>
      </c>
      <c r="J71" s="4">
        <v>12</v>
      </c>
      <c r="K71" s="4">
        <v>0</v>
      </c>
      <c r="L71" s="4">
        <f t="shared" si="1"/>
        <v>12</v>
      </c>
      <c r="M71" s="13">
        <f t="shared" si="2"/>
        <v>0</v>
      </c>
      <c r="N71" s="4" t="s">
        <v>143</v>
      </c>
      <c r="O71" s="4" t="s">
        <v>172</v>
      </c>
      <c r="P71" s="4"/>
    </row>
    <row r="72" spans="1:16" ht="14.25" customHeight="1" x14ac:dyDescent="0.3">
      <c r="A72" s="4" t="s">
        <v>316</v>
      </c>
      <c r="B72" s="4" t="s">
        <v>317</v>
      </c>
      <c r="C72" s="4" t="s">
        <v>171</v>
      </c>
      <c r="D72" s="4" t="s">
        <v>144</v>
      </c>
      <c r="E72" s="4" t="s">
        <v>144</v>
      </c>
      <c r="F72" s="4" t="s">
        <v>93</v>
      </c>
      <c r="G72" s="4" t="s">
        <v>95</v>
      </c>
      <c r="H72" s="4" t="s">
        <v>194</v>
      </c>
      <c r="I72" s="4">
        <v>8</v>
      </c>
      <c r="J72" s="4">
        <v>8</v>
      </c>
      <c r="K72" s="4">
        <v>0</v>
      </c>
      <c r="L72" s="4">
        <f t="shared" si="1"/>
        <v>8</v>
      </c>
      <c r="M72" s="13">
        <f t="shared" si="2"/>
        <v>0</v>
      </c>
      <c r="N72" s="4" t="s">
        <v>143</v>
      </c>
      <c r="O72" s="4" t="s">
        <v>172</v>
      </c>
      <c r="P72" s="4"/>
    </row>
    <row r="73" spans="1:16" ht="14.25" customHeight="1" x14ac:dyDescent="0.3">
      <c r="A73" s="5" t="s">
        <v>318</v>
      </c>
      <c r="I73" s="5">
        <f>SUM(J3:J72)</f>
        <v>1706</v>
      </c>
      <c r="J73" s="5">
        <f>SUM(K3:K72)</f>
        <v>1356</v>
      </c>
      <c r="K73" s="5">
        <f>SUM(L3:L72)</f>
        <v>536</v>
      </c>
    </row>
    <row r="74" spans="1:16" ht="14.25" customHeight="1" x14ac:dyDescent="0.3"/>
    <row r="75" spans="1:16" ht="14.25" customHeight="1" x14ac:dyDescent="0.3"/>
    <row r="76" spans="1:16" ht="14.25" customHeight="1" x14ac:dyDescent="0.3"/>
    <row r="77" spans="1:16" ht="14.25" customHeight="1" x14ac:dyDescent="0.3"/>
    <row r="78" spans="1:16" ht="14.25" customHeight="1" x14ac:dyDescent="0.3"/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errorTitle="Invalid entry" error="Please select a value from the Work Item Type list" promptTitle="Work Item Type" prompt="Choose the work item type" xr:uid="{00000000-0002-0000-0300-000000000000}">
          <x14:formula1>
            <xm:f>Lists!$C$3:$C$7</xm:f>
          </x14:formula1>
          <x14:formula2>
            <xm:f>0</xm:f>
          </x14:formula2>
          <xm:sqref>C3:C72</xm:sqref>
        </x14:dataValidation>
        <x14:dataValidation type="list" allowBlank="1" errorTitle="Invalid entry" error="Please select a value from the Sprint list" promptTitle="Sprint" prompt="Choose the current sprint" xr:uid="{00000000-0002-0000-0300-000001000000}">
          <x14:formula1>
            <xm:f>Lists!$N$3:$N$10</xm:f>
          </x14:formula1>
          <x14:formula2>
            <xm:f>0</xm:f>
          </x14:formula2>
          <xm:sqref>D3:D72</xm:sqref>
        </x14:dataValidation>
        <x14:dataValidation type="list" allowBlank="1" errorTitle="Invalid entry" error="Please select a value from the Original Sprint list" promptTitle="Original Sprint" prompt="Choose the originally planned sprint" xr:uid="{00000000-0002-0000-0300-000002000000}">
          <x14:formula1>
            <xm:f>Lists!$N$3:$N$10</xm:f>
          </x14:formula1>
          <x14:formula2>
            <xm:f>0</xm:f>
          </x14:formula2>
          <xm:sqref>E3:E72</xm:sqref>
        </x14:dataValidation>
        <x14:dataValidation type="list" allowBlank="1" errorTitle="Invalid entry" error="Please select a value from the Owner list" promptTitle="Owner" prompt="Choose the assigned team member" xr:uid="{00000000-0002-0000-0300-000003000000}">
          <x14:formula1>
            <xm:f>Lists!$L$3:$L$11</xm:f>
          </x14:formula1>
          <x14:formula2>
            <xm:f>0</xm:f>
          </x14:formula2>
          <xm:sqref>F3:F72</xm:sqref>
        </x14:dataValidation>
        <x14:dataValidation type="list" allowBlank="1" errorTitle="Invalid entry" error="Please select a value from the Required Skill list" promptTitle="Required Skill" prompt="Choose the required skill for this task" xr:uid="{00000000-0002-0000-0300-000004000000}">
          <x14:formula1>
            <xm:f>Lists!$M$3:$M$26</xm:f>
          </x14:formula1>
          <x14:formula2>
            <xm:f>0</xm:f>
          </x14:formula2>
          <xm:sqref>G3:G72</xm:sqref>
        </x14:dataValidation>
        <x14:dataValidation type="list" allowBlank="1" errorTitle="Invalid entry" error="Please select a value from the Priority list" promptTitle="Priority" prompt="Choose the priority level" xr:uid="{00000000-0002-0000-0300-000005000000}">
          <x14:formula1>
            <xm:f>Lists!$D$3:$D$6</xm:f>
          </x14:formula1>
          <x14:formula2>
            <xm:f>0</xm:f>
          </x14:formula2>
          <xm:sqref>H3:H72</xm:sqref>
        </x14:dataValidation>
        <x14:dataValidation type="list" allowBlank="1" errorTitle="Invalid entry" error="Please select a value from the Status list" promptTitle="Status" prompt="Choose the work item status" xr:uid="{00000000-0002-0000-0300-000006000000}">
          <x14:formula1>
            <xm:f>Lists!$E$3:$E$7</xm:f>
          </x14:formula1>
          <x14:formula2>
            <xm:f>0</xm:f>
          </x14:formula2>
          <xm:sqref>N3:N72</xm:sqref>
        </x14:dataValidation>
        <x14:dataValidation type="list" allowBlank="1" errorTitle="Invalid entry" error="Please select a value from the Scope Change list" promptTitle="Scope Change" prompt="Did the scope change for this task?" xr:uid="{00000000-0002-0000-0300-000007000000}">
          <x14:formula1>
            <xm:f>Lists!$F$3:$F$4</xm:f>
          </x14:formula1>
          <x14:formula2>
            <xm:f>0</xm:f>
          </x14:formula2>
          <xm:sqref>O3:O72</xm:sqref>
        </x14:dataValidation>
        <x14:dataValidation type="list" allowBlank="1" errorTitle="Invalid entry" error="Please select a value from the Scope Reason list" promptTitle="Scope Reason" prompt="Choose the reason for scope change" xr:uid="{00000000-0002-0000-0300-000008000000}">
          <x14:formula1>
            <xm:f>Lists!$G$3:$G$8</xm:f>
          </x14:formula1>
          <x14:formula2>
            <xm:f>0</xm:f>
          </x14:formula2>
          <xm:sqref>P3:P72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zoomScaleNormal="100" workbookViewId="0">
      <pane ySplit="2" topLeftCell="A3" activePane="bottomLeft" state="frozen"/>
      <selection pane="bottomLeft" activeCell="C10" sqref="C10"/>
    </sheetView>
  </sheetViews>
  <sheetFormatPr defaultColWidth="8.6640625" defaultRowHeight="14.4" x14ac:dyDescent="0.3"/>
  <cols>
    <col min="1" max="1" width="15.77734375" customWidth="1"/>
    <col min="2" max="2" width="18" customWidth="1"/>
    <col min="3" max="3" width="16" customWidth="1"/>
    <col min="4" max="4" width="17" customWidth="1"/>
    <col min="5" max="5" width="12" customWidth="1"/>
    <col min="6" max="6" width="60" customWidth="1"/>
  </cols>
  <sheetData>
    <row r="1" spans="1:5" ht="27.75" customHeight="1" x14ac:dyDescent="0.3">
      <c r="A1" s="2" t="s">
        <v>319</v>
      </c>
      <c r="B1" s="2"/>
      <c r="C1" s="2"/>
      <c r="D1" s="2"/>
      <c r="E1" s="2"/>
    </row>
    <row r="2" spans="1:5" ht="27" customHeight="1" x14ac:dyDescent="0.3">
      <c r="A2" s="3" t="s">
        <v>320</v>
      </c>
      <c r="B2" s="3" t="s">
        <v>321</v>
      </c>
      <c r="C2" s="3" t="s">
        <v>322</v>
      </c>
      <c r="D2" s="3" t="s">
        <v>323</v>
      </c>
      <c r="E2" s="3" t="s">
        <v>324</v>
      </c>
    </row>
    <row r="3" spans="1:5" ht="14.25" customHeight="1" x14ac:dyDescent="0.3">
      <c r="A3" s="4" t="s">
        <v>325</v>
      </c>
      <c r="B3" s="14" t="s">
        <v>163</v>
      </c>
      <c r="C3" s="14" t="s">
        <v>173</v>
      </c>
      <c r="D3" s="4" t="s">
        <v>326</v>
      </c>
      <c r="E3" s="4">
        <v>0</v>
      </c>
    </row>
    <row r="4" spans="1:5" ht="14.25" customHeight="1" x14ac:dyDescent="0.3">
      <c r="A4" s="4" t="s">
        <v>327</v>
      </c>
      <c r="B4" s="14" t="s">
        <v>163</v>
      </c>
      <c r="C4" s="14" t="s">
        <v>176</v>
      </c>
      <c r="D4" s="4" t="s">
        <v>326</v>
      </c>
      <c r="E4" s="4">
        <v>0</v>
      </c>
    </row>
    <row r="5" spans="1:5" ht="14.25" customHeight="1" x14ac:dyDescent="0.3">
      <c r="A5" s="4" t="s">
        <v>328</v>
      </c>
      <c r="B5" s="14" t="s">
        <v>173</v>
      </c>
      <c r="C5" s="14" t="s">
        <v>195</v>
      </c>
      <c r="D5" s="4" t="s">
        <v>326</v>
      </c>
      <c r="E5" s="4">
        <v>0</v>
      </c>
    </row>
    <row r="6" spans="1:5" ht="14.25" customHeight="1" x14ac:dyDescent="0.3">
      <c r="A6" s="4" t="s">
        <v>329</v>
      </c>
      <c r="B6" s="14" t="s">
        <v>173</v>
      </c>
      <c r="C6" s="14" t="s">
        <v>199</v>
      </c>
      <c r="D6" s="4" t="s">
        <v>326</v>
      </c>
      <c r="E6" s="4">
        <v>0</v>
      </c>
    </row>
    <row r="7" spans="1:5" ht="14.25" customHeight="1" x14ac:dyDescent="0.3">
      <c r="A7" s="4" t="s">
        <v>330</v>
      </c>
      <c r="B7" s="14" t="s">
        <v>195</v>
      </c>
      <c r="C7" s="14" t="s">
        <v>214</v>
      </c>
      <c r="D7" s="4" t="s">
        <v>326</v>
      </c>
      <c r="E7" s="4">
        <v>0</v>
      </c>
    </row>
    <row r="8" spans="1:5" ht="14.25" customHeight="1" x14ac:dyDescent="0.3">
      <c r="A8" s="4" t="s">
        <v>331</v>
      </c>
      <c r="B8" s="14" t="s">
        <v>220</v>
      </c>
      <c r="C8" s="14" t="s">
        <v>224</v>
      </c>
      <c r="D8" s="4" t="s">
        <v>326</v>
      </c>
      <c r="E8" s="4">
        <v>0</v>
      </c>
    </row>
    <row r="9" spans="1:5" ht="14.25" customHeight="1" x14ac:dyDescent="0.3">
      <c r="A9" s="4" t="s">
        <v>332</v>
      </c>
      <c r="B9" s="14" t="s">
        <v>176</v>
      </c>
      <c r="C9" s="14" t="s">
        <v>236</v>
      </c>
      <c r="D9" s="4" t="s">
        <v>326</v>
      </c>
      <c r="E9" s="4">
        <v>0</v>
      </c>
    </row>
    <row r="10" spans="1:5" ht="14.25" customHeight="1" x14ac:dyDescent="0.3">
      <c r="A10" s="4" t="s">
        <v>333</v>
      </c>
      <c r="B10" s="14" t="s">
        <v>214</v>
      </c>
      <c r="C10" s="14" t="s">
        <v>244</v>
      </c>
      <c r="D10" s="4" t="s">
        <v>326</v>
      </c>
      <c r="E10" s="4">
        <v>0</v>
      </c>
    </row>
    <row r="11" spans="1:5" ht="14.25" customHeight="1" x14ac:dyDescent="0.3">
      <c r="A11" s="4" t="s">
        <v>334</v>
      </c>
      <c r="B11" s="14" t="s">
        <v>236</v>
      </c>
      <c r="C11" s="14" t="s">
        <v>260</v>
      </c>
      <c r="D11" s="4" t="s">
        <v>326</v>
      </c>
      <c r="E11" s="4">
        <v>1</v>
      </c>
    </row>
    <row r="12" spans="1:5" ht="14.25" customHeight="1" x14ac:dyDescent="0.3">
      <c r="A12" s="4" t="s">
        <v>335</v>
      </c>
      <c r="B12" s="14" t="s">
        <v>262</v>
      </c>
      <c r="C12" s="14" t="s">
        <v>264</v>
      </c>
      <c r="D12" s="4" t="s">
        <v>326</v>
      </c>
      <c r="E12" s="4">
        <v>2</v>
      </c>
    </row>
    <row r="13" spans="1:5" ht="26.25" customHeight="1" x14ac:dyDescent="0.3">
      <c r="A13" s="4" t="s">
        <v>336</v>
      </c>
      <c r="B13" s="14" t="s">
        <v>264</v>
      </c>
      <c r="C13" s="14" t="s">
        <v>280</v>
      </c>
      <c r="D13" s="4" t="s">
        <v>326</v>
      </c>
      <c r="E13" s="4">
        <v>2</v>
      </c>
    </row>
    <row r="14" spans="1:5" ht="14.25" customHeight="1" x14ac:dyDescent="0.3">
      <c r="A14" s="4" t="s">
        <v>337</v>
      </c>
      <c r="B14" s="14" t="s">
        <v>280</v>
      </c>
      <c r="C14" s="14" t="s">
        <v>286</v>
      </c>
      <c r="D14" s="4" t="s">
        <v>326</v>
      </c>
      <c r="E14" s="4">
        <v>1</v>
      </c>
    </row>
    <row r="15" spans="1:5" ht="14.25" customHeight="1" x14ac:dyDescent="0.3">
      <c r="A15" s="4" t="s">
        <v>338</v>
      </c>
      <c r="B15" s="14" t="s">
        <v>302</v>
      </c>
      <c r="C15" s="14" t="s">
        <v>294</v>
      </c>
      <c r="D15" s="4" t="s">
        <v>326</v>
      </c>
      <c r="E15" s="4">
        <v>1</v>
      </c>
    </row>
    <row r="16" spans="1:5" ht="14.25" customHeight="1" x14ac:dyDescent="0.3">
      <c r="A16" s="4" t="s">
        <v>339</v>
      </c>
      <c r="B16" s="14" t="s">
        <v>294</v>
      </c>
      <c r="C16" s="14" t="s">
        <v>306</v>
      </c>
      <c r="D16" s="4" t="s">
        <v>326</v>
      </c>
      <c r="E16" s="4">
        <v>0</v>
      </c>
    </row>
    <row r="17" spans="1:5" ht="14.25" customHeight="1" x14ac:dyDescent="0.3">
      <c r="A17" s="4" t="s">
        <v>340</v>
      </c>
      <c r="B17" s="14" t="s">
        <v>224</v>
      </c>
      <c r="C17" s="14" t="s">
        <v>254</v>
      </c>
      <c r="D17" s="4" t="s">
        <v>326</v>
      </c>
      <c r="E17" s="4">
        <v>0</v>
      </c>
    </row>
    <row r="18" spans="1:5" ht="14.25" customHeight="1" x14ac:dyDescent="0.3">
      <c r="A18" s="4" t="s">
        <v>341</v>
      </c>
      <c r="B18" s="14" t="s">
        <v>199</v>
      </c>
      <c r="C18" s="14" t="s">
        <v>242</v>
      </c>
      <c r="D18" s="4" t="s">
        <v>326</v>
      </c>
      <c r="E18" s="4">
        <v>0</v>
      </c>
    </row>
    <row r="19" spans="1:5" ht="14.25" customHeight="1" x14ac:dyDescent="0.3">
      <c r="A19" s="4" t="s">
        <v>342</v>
      </c>
      <c r="B19" s="14" t="s">
        <v>242</v>
      </c>
      <c r="C19" s="14" t="s">
        <v>258</v>
      </c>
      <c r="D19" s="4" t="s">
        <v>326</v>
      </c>
      <c r="E19" s="4">
        <v>0</v>
      </c>
    </row>
    <row r="20" spans="1:5" ht="14.25" customHeight="1" x14ac:dyDescent="0.3">
      <c r="A20" s="4" t="s">
        <v>343</v>
      </c>
      <c r="B20" s="14" t="s">
        <v>280</v>
      </c>
      <c r="C20" s="14" t="s">
        <v>296</v>
      </c>
      <c r="D20" s="4" t="s">
        <v>326</v>
      </c>
      <c r="E20" s="4">
        <v>1</v>
      </c>
    </row>
    <row r="21" spans="1:5" ht="14.25" customHeight="1" x14ac:dyDescent="0.3">
      <c r="A21" s="4" t="s">
        <v>344</v>
      </c>
      <c r="B21" s="14" t="s">
        <v>290</v>
      </c>
      <c r="C21" s="14" t="s">
        <v>282</v>
      </c>
      <c r="D21" s="4" t="s">
        <v>326</v>
      </c>
      <c r="E21" s="4">
        <v>0</v>
      </c>
    </row>
    <row r="22" spans="1:5" ht="14.25" customHeight="1" x14ac:dyDescent="0.3">
      <c r="A22" s="4" t="s">
        <v>345</v>
      </c>
      <c r="B22" s="14" t="s">
        <v>284</v>
      </c>
      <c r="C22" s="14" t="s">
        <v>310</v>
      </c>
      <c r="D22" s="4" t="s">
        <v>326</v>
      </c>
      <c r="E22" s="4">
        <v>1</v>
      </c>
    </row>
    <row r="23" spans="1:5" ht="14.25" customHeight="1" x14ac:dyDescent="0.3">
      <c r="A23" s="4" t="s">
        <v>346</v>
      </c>
      <c r="B23" s="14" t="s">
        <v>266</v>
      </c>
      <c r="C23" s="14" t="s">
        <v>274</v>
      </c>
      <c r="D23" s="4" t="s">
        <v>326</v>
      </c>
      <c r="E23" s="4">
        <v>0</v>
      </c>
    </row>
    <row r="24" spans="1:5" ht="14.25" customHeight="1" x14ac:dyDescent="0.3">
      <c r="A24" s="4" t="s">
        <v>347</v>
      </c>
      <c r="B24" s="14" t="s">
        <v>231</v>
      </c>
      <c r="C24" s="14" t="s">
        <v>242</v>
      </c>
      <c r="D24" s="4" t="s">
        <v>326</v>
      </c>
      <c r="E24" s="4">
        <v>0</v>
      </c>
    </row>
    <row r="25" spans="1:5" ht="14.25" customHeight="1" x14ac:dyDescent="0.3">
      <c r="A25" s="4" t="s">
        <v>348</v>
      </c>
      <c r="B25" s="14" t="s">
        <v>240</v>
      </c>
      <c r="C25" s="14" t="s">
        <v>246</v>
      </c>
      <c r="D25" s="4" t="s">
        <v>326</v>
      </c>
      <c r="E25" s="4">
        <v>0</v>
      </c>
    </row>
  </sheetData>
  <mergeCells count="1">
    <mergeCell ref="A1:E1"/>
  </mergeCells>
  <hyperlinks>
    <hyperlink ref="B3" location="'Work_Items'!A3" display="WI-001" xr:uid="{00000000-0004-0000-0400-000000000000}"/>
    <hyperlink ref="C3" location="'Work_Items'!A5" display="WI-003" xr:uid="{00000000-0004-0000-0400-000001000000}"/>
    <hyperlink ref="B4" location="'Work_Items'!A3" display="WI-001" xr:uid="{00000000-0004-0000-0400-000002000000}"/>
    <hyperlink ref="C4" location="'Work_Items'!A6" display="WI-004" xr:uid="{00000000-0004-0000-0400-000003000000}"/>
    <hyperlink ref="B5" location="'Work_Items'!A5" display="WI-003" xr:uid="{00000000-0004-0000-0400-000004000000}"/>
    <hyperlink ref="C5" location="'Work_Items'!A13" display="WI-011" xr:uid="{00000000-0004-0000-0400-000005000000}"/>
    <hyperlink ref="B6" location="'Work_Items'!A5" display="WI-003" xr:uid="{00000000-0004-0000-0400-000006000000}"/>
    <hyperlink ref="C6" location="'Work_Items'!A15" display="WI-013" xr:uid="{00000000-0004-0000-0400-000007000000}"/>
    <hyperlink ref="B7" location="'Work_Items'!A13" display="WI-011" xr:uid="{00000000-0004-0000-0400-000008000000}"/>
    <hyperlink ref="C7" location="'Work_Items'!A22" display="WI-020" xr:uid="{00000000-0004-0000-0400-000009000000}"/>
    <hyperlink ref="B8" location="'Work_Items'!A25" display="WI-023" xr:uid="{00000000-0004-0000-0400-00000A000000}"/>
    <hyperlink ref="C8" location="'Work_Items'!A27" display="WI-025" xr:uid="{00000000-0004-0000-0400-00000B000000}"/>
    <hyperlink ref="B9" location="'Work_Items'!A6" display="WI-004" xr:uid="{00000000-0004-0000-0400-00000C000000}"/>
    <hyperlink ref="C9" location="'Work_Items'!A32" display="WI-030" xr:uid="{00000000-0004-0000-0400-00000D000000}"/>
    <hyperlink ref="B10" location="'Work_Items'!A22" display="WI-020" xr:uid="{00000000-0004-0000-0400-00000E000000}"/>
    <hyperlink ref="C10" location="'Work_Items'!A36" display="WI-034" xr:uid="{00000000-0004-0000-0400-00000F000000}"/>
    <hyperlink ref="B11" location="'Work_Items'!A32" display="WI-030" xr:uid="{00000000-0004-0000-0400-000010000000}"/>
    <hyperlink ref="C11" location="'Work_Items'!A44" display="WI-044" xr:uid="{00000000-0004-0000-0400-000011000000}"/>
    <hyperlink ref="B12" location="'Work_Items'!A45" display="WI-045" xr:uid="{00000000-0004-0000-0400-000012000000}"/>
    <hyperlink ref="C12" location="'Work_Items'!A46" display="WI-046" xr:uid="{00000000-0004-0000-0400-000013000000}"/>
    <hyperlink ref="B13" location="'Work_Items'!A46" display="WI-046" xr:uid="{00000000-0004-0000-0400-000014000000}"/>
    <hyperlink ref="C13" location="'Work_Items'!A54" display="WI-053" xr:uid="{00000000-0004-0000-0400-000015000000}"/>
    <hyperlink ref="B14" location="'Work_Items'!A54" display="WI-053" xr:uid="{00000000-0004-0000-0400-000016000000}"/>
    <hyperlink ref="C14" location="'Work_Items'!A57" display="WI-057" xr:uid="{00000000-0004-0000-0400-000017000000}"/>
    <hyperlink ref="B15" location="'Work_Items'!A65" display="WI-065" xr:uid="{00000000-0004-0000-0400-000018000000}"/>
    <hyperlink ref="C15" location="'Work_Items'!A61" display="WI-061" xr:uid="{00000000-0004-0000-0400-000019000000}"/>
    <hyperlink ref="B16" location="'Work_Items'!A61" display="WI-061" xr:uid="{00000000-0004-0000-0400-00001A000000}"/>
    <hyperlink ref="C16" location="'Work_Items'!A67" display="WI-067" xr:uid="{00000000-0004-0000-0400-00001B000000}"/>
    <hyperlink ref="B17" location="'Work_Items'!A27" display="WI-025" xr:uid="{00000000-0004-0000-0400-00001C000000}"/>
    <hyperlink ref="C17" location="'Work_Items'!A41" display="WI-039" xr:uid="{00000000-0004-0000-0400-00001D000000}"/>
    <hyperlink ref="B18" location="'Work_Items'!A15" display="WI-013" xr:uid="{00000000-0004-0000-0400-00001E000000}"/>
    <hyperlink ref="C18" location="'Work_Items'!A35" display="WI-033" xr:uid="{00000000-0004-0000-0400-00001F000000}"/>
    <hyperlink ref="B19" location="'Work_Items'!A35" display="WI-033" xr:uid="{00000000-0004-0000-0400-000020000000}"/>
    <hyperlink ref="C19" location="'Work_Items'!A43" display="WI-041" xr:uid="{00000000-0004-0000-0400-000021000000}"/>
    <hyperlink ref="B20" location="'Work_Items'!A54" display="WI-053" xr:uid="{00000000-0004-0000-0400-000022000000}"/>
    <hyperlink ref="C20" location="'Work_Items'!A62" display="WI-062" xr:uid="{00000000-0004-0000-0400-000023000000}"/>
    <hyperlink ref="B21" location="'Work_Items'!A59" display="WI-059" xr:uid="{00000000-0004-0000-0400-000024000000}"/>
    <hyperlink ref="C21" location="'Work_Items'!A55" display="WI-054" xr:uid="{00000000-0004-0000-0400-000025000000}"/>
    <hyperlink ref="B22" location="'Work_Items'!A56" display="WI-055" xr:uid="{00000000-0004-0000-0400-000026000000}"/>
    <hyperlink ref="C22" location="'Work_Items'!A69" display="WI-069" xr:uid="{00000000-0004-0000-0400-000027000000}"/>
    <hyperlink ref="B23" location="'Work_Items'!A47" display="WI-047" xr:uid="{00000000-0004-0000-0400-000028000000}"/>
    <hyperlink ref="C23" location="'Work_Items'!A51" display="WI-056" xr:uid="{00000000-0004-0000-0400-000029000000}"/>
    <hyperlink ref="B24" location="'Work_Items'!A30" display="WI-028" xr:uid="{00000000-0004-0000-0400-00002A000000}"/>
    <hyperlink ref="C24" location="'Work_Items'!A35" display="WI-033" xr:uid="{00000000-0004-0000-0400-00002B000000}"/>
    <hyperlink ref="B25" location="'Work_Items'!A34" display="WI-032" xr:uid="{00000000-0004-0000-0400-00002C000000}"/>
    <hyperlink ref="C25" location="'Work_Items'!A37" display="WI-035" xr:uid="{00000000-0004-0000-0400-00002D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Please select a value from the Dependency Type list" promptTitle="Dependency Type" prompt="Choose the dependency type" xr:uid="{00000000-0002-0000-0400-000000000000}">
          <x14:formula1>
            <xm:f>Lists!$H$3:$H$5</xm:f>
          </x14:formula1>
          <x14:formula2>
            <xm:f>0</xm:f>
          </x14:formula2>
          <xm:sqref>D3:D25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tabSelected="1" topLeftCell="F1" zoomScaleNormal="100" workbookViewId="0">
      <pane ySplit="2" topLeftCell="A3" activePane="bottomLeft" state="frozen"/>
      <selection pane="bottomLeft" activeCell="L2" sqref="L2"/>
    </sheetView>
  </sheetViews>
  <sheetFormatPr defaultColWidth="8.6640625" defaultRowHeight="14.4" x14ac:dyDescent="0.3"/>
  <cols>
    <col min="1" max="1" width="25" customWidth="1"/>
    <col min="2" max="2" width="14" customWidth="1"/>
    <col min="3" max="3" width="24" customWidth="1"/>
    <col min="4" max="5" width="12" customWidth="1"/>
    <col min="6" max="6" width="23" customWidth="1"/>
    <col min="7" max="7" width="13" customWidth="1"/>
    <col min="8" max="9" width="19" customWidth="1"/>
    <col min="10" max="10" width="60" customWidth="1"/>
    <col min="11" max="11" width="18" customWidth="1"/>
    <col min="12" max="12" width="60" customWidth="1"/>
  </cols>
  <sheetData>
    <row r="1" spans="1:12" ht="27.75" customHeight="1" x14ac:dyDescent="0.3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25" customHeight="1" x14ac:dyDescent="0.3">
      <c r="A2" s="3" t="s">
        <v>350</v>
      </c>
      <c r="B2" s="3" t="s">
        <v>351</v>
      </c>
      <c r="C2" s="3" t="s">
        <v>352</v>
      </c>
      <c r="D2" s="3" t="s">
        <v>353</v>
      </c>
      <c r="E2" s="3" t="s">
        <v>10</v>
      </c>
      <c r="F2" s="3" t="s">
        <v>153</v>
      </c>
      <c r="G2" s="3" t="s">
        <v>354</v>
      </c>
      <c r="H2" s="3" t="s">
        <v>355</v>
      </c>
      <c r="I2" s="3" t="s">
        <v>356</v>
      </c>
      <c r="J2" s="3" t="s">
        <v>357</v>
      </c>
      <c r="K2" s="3" t="s">
        <v>358</v>
      </c>
      <c r="L2" s="3" t="s">
        <v>359</v>
      </c>
    </row>
    <row r="3" spans="1:12" ht="78.75" customHeight="1" x14ac:dyDescent="0.3">
      <c r="A3" s="4" t="s">
        <v>360</v>
      </c>
      <c r="B3" s="4" t="s">
        <v>218</v>
      </c>
      <c r="C3" s="4" t="s">
        <v>361</v>
      </c>
      <c r="D3" s="4" t="s">
        <v>362</v>
      </c>
      <c r="E3" s="4" t="s">
        <v>363</v>
      </c>
      <c r="F3" s="4" t="s">
        <v>73</v>
      </c>
      <c r="G3" s="4" t="s">
        <v>123</v>
      </c>
      <c r="H3" s="4" t="s">
        <v>364</v>
      </c>
      <c r="I3" s="4" t="s">
        <v>365</v>
      </c>
      <c r="J3" s="4" t="s">
        <v>366</v>
      </c>
      <c r="K3" t="s">
        <v>122</v>
      </c>
      <c r="L3" t="s">
        <v>367</v>
      </c>
    </row>
    <row r="4" spans="1:12" ht="52.5" customHeight="1" x14ac:dyDescent="0.3">
      <c r="A4" s="4" t="s">
        <v>368</v>
      </c>
      <c r="B4" s="4" t="s">
        <v>203</v>
      </c>
      <c r="C4" s="4" t="s">
        <v>369</v>
      </c>
      <c r="D4" s="4" t="s">
        <v>166</v>
      </c>
      <c r="E4" s="4" t="s">
        <v>363</v>
      </c>
      <c r="F4" s="4" t="s">
        <v>83</v>
      </c>
      <c r="G4" s="4" t="s">
        <v>119</v>
      </c>
      <c r="H4" s="4" t="s">
        <v>370</v>
      </c>
      <c r="I4" s="4" t="s">
        <v>371</v>
      </c>
      <c r="J4" s="4" t="s">
        <v>372</v>
      </c>
      <c r="K4" t="s">
        <v>118</v>
      </c>
      <c r="L4" t="s">
        <v>373</v>
      </c>
    </row>
    <row r="5" spans="1:12" ht="78.75" customHeight="1" x14ac:dyDescent="0.3">
      <c r="A5" s="4" t="s">
        <v>374</v>
      </c>
      <c r="B5" s="4" t="s">
        <v>254</v>
      </c>
      <c r="C5" s="4" t="s">
        <v>375</v>
      </c>
      <c r="D5" s="4" t="s">
        <v>166</v>
      </c>
      <c r="E5" s="4" t="s">
        <v>363</v>
      </c>
      <c r="F5" s="4" t="s">
        <v>78</v>
      </c>
      <c r="G5" s="4" t="s">
        <v>124</v>
      </c>
      <c r="H5" s="4" t="s">
        <v>376</v>
      </c>
      <c r="I5" s="4" t="s">
        <v>376</v>
      </c>
      <c r="J5" s="4" t="s">
        <v>377</v>
      </c>
      <c r="K5" t="s">
        <v>122</v>
      </c>
      <c r="L5" t="s">
        <v>378</v>
      </c>
    </row>
    <row r="6" spans="1:12" ht="105" customHeight="1" x14ac:dyDescent="0.3">
      <c r="A6" s="4" t="s">
        <v>379</v>
      </c>
      <c r="B6" s="4" t="s">
        <v>274</v>
      </c>
      <c r="C6" s="4" t="s">
        <v>380</v>
      </c>
      <c r="D6" s="4" t="s">
        <v>166</v>
      </c>
      <c r="E6" s="4" t="s">
        <v>381</v>
      </c>
      <c r="F6" s="4" t="s">
        <v>98</v>
      </c>
      <c r="G6" s="4" t="s">
        <v>131</v>
      </c>
      <c r="H6" s="4" t="s">
        <v>382</v>
      </c>
      <c r="I6" s="4" t="s">
        <v>381</v>
      </c>
      <c r="J6" s="4" t="s">
        <v>366</v>
      </c>
      <c r="K6" t="s">
        <v>130</v>
      </c>
      <c r="L6" t="s">
        <v>383</v>
      </c>
    </row>
    <row r="7" spans="1:12" ht="92.25" customHeight="1" x14ac:dyDescent="0.3">
      <c r="A7" s="4" t="s">
        <v>384</v>
      </c>
      <c r="B7" s="4" t="s">
        <v>268</v>
      </c>
      <c r="C7" s="4" t="s">
        <v>385</v>
      </c>
      <c r="D7" s="4" t="s">
        <v>181</v>
      </c>
      <c r="E7" s="4" t="s">
        <v>363</v>
      </c>
      <c r="F7" s="4" t="s">
        <v>104</v>
      </c>
      <c r="G7" s="4" t="s">
        <v>131</v>
      </c>
      <c r="H7" s="4" t="s">
        <v>386</v>
      </c>
      <c r="I7" s="4" t="s">
        <v>387</v>
      </c>
      <c r="J7" s="4" t="s">
        <v>372</v>
      </c>
      <c r="K7" t="s">
        <v>130</v>
      </c>
      <c r="L7" t="s">
        <v>388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entry" error="Please select a value from the Owner list" promptTitle="Owner" prompt="Choose the blocker owner" xr:uid="{00000000-0002-0000-0500-000000000000}">
          <x14:formula1>
            <xm:f>Lists!$L$3:$L$11</xm:f>
          </x14:formula1>
          <x14:formula2>
            <xm:f>0</xm:f>
          </x14:formula2>
          <xm:sqref>F3:F7</xm:sqref>
        </x14:dataValidation>
        <x14:dataValidation type="list" allowBlank="1" errorTitle="Invalid entry" error="Please select a value from the Severity list" promptTitle="Severity" prompt="Choose the severity level" xr:uid="{00000000-0002-0000-0500-000001000000}">
          <x14:formula1>
            <xm:f>Lists!$I$3:$I$6</xm:f>
          </x14:formula1>
          <x14:formula2>
            <xm:f>0</xm:f>
          </x14:formula2>
          <xm:sqref>D3:D7</xm:sqref>
        </x14:dataValidation>
        <x14:dataValidation type="list" allowBlank="1" errorTitle="Invalid entry" error="Please select a value from the Status list" promptTitle="Status" prompt="Choose the blocker status" xr:uid="{00000000-0002-0000-0500-000002000000}">
          <x14:formula1>
            <xm:f>Lists!$J$3:$J$6</xm:f>
          </x14:formula1>
          <x14:formula2>
            <xm:f>0</xm:f>
          </x14:formula2>
          <xm:sqref>E3:E7</xm:sqref>
        </x14:dataValidation>
        <x14:dataValidation type="list" allowBlank="1" errorTitle="Invalid entry" error="Please select a value from the Category list" promptTitle="Category" prompt="Choose the blocker category" xr:uid="{00000000-0002-0000-0500-000003000000}">
          <x14:formula1>
            <xm:f>Lists!$K$3:$K$7</xm:f>
          </x14:formula1>
          <x14:formula2>
            <xm:f>0</xm:f>
          </x14:formula2>
          <xm:sqref>J3:J7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6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51" customWidth="1"/>
    <col min="2" max="3" width="14" customWidth="1"/>
    <col min="4" max="4" width="12" customWidth="1"/>
    <col min="5" max="5" width="16" customWidth="1"/>
    <col min="6" max="6" width="12" customWidth="1"/>
    <col min="7" max="8" width="18" customWidth="1"/>
    <col min="9" max="9" width="12" customWidth="1"/>
    <col min="10" max="10" width="15" customWidth="1"/>
    <col min="11" max="11" width="26" customWidth="1"/>
    <col min="12" max="12" width="23" customWidth="1"/>
    <col min="13" max="13" width="35" customWidth="1"/>
    <col min="14" max="14" width="12" customWidth="1"/>
    <col min="15" max="15" width="15" customWidth="1"/>
  </cols>
  <sheetData>
    <row r="1" spans="1:15" ht="27.75" customHeight="1" x14ac:dyDescent="0.3">
      <c r="A1" s="2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4.25" customHeight="1" x14ac:dyDescent="0.3">
      <c r="A2" s="15" t="s">
        <v>390</v>
      </c>
      <c r="B2" s="15" t="s">
        <v>391</v>
      </c>
      <c r="C2" s="15" t="s">
        <v>392</v>
      </c>
      <c r="D2" s="15" t="s">
        <v>155</v>
      </c>
      <c r="E2" s="15" t="s">
        <v>393</v>
      </c>
      <c r="F2" s="15" t="s">
        <v>394</v>
      </c>
      <c r="G2" s="15" t="s">
        <v>395</v>
      </c>
      <c r="H2" s="15" t="s">
        <v>396</v>
      </c>
      <c r="I2" s="15" t="s">
        <v>353</v>
      </c>
      <c r="J2" s="15" t="s">
        <v>397</v>
      </c>
      <c r="K2" s="15" t="s">
        <v>398</v>
      </c>
      <c r="L2" s="15" t="s">
        <v>399</v>
      </c>
      <c r="M2" s="15" t="s">
        <v>400</v>
      </c>
      <c r="N2" s="15" t="s">
        <v>401</v>
      </c>
      <c r="O2" s="15" t="s">
        <v>402</v>
      </c>
    </row>
    <row r="3" spans="1:15" ht="14.25" customHeight="1" x14ac:dyDescent="0.3">
      <c r="A3" s="4" t="s">
        <v>19</v>
      </c>
      <c r="B3" s="4" t="s">
        <v>143</v>
      </c>
      <c r="C3" s="4" t="s">
        <v>165</v>
      </c>
      <c r="D3" s="4" t="s">
        <v>362</v>
      </c>
      <c r="E3" s="4" t="s">
        <v>143</v>
      </c>
      <c r="F3" s="4" t="s">
        <v>167</v>
      </c>
      <c r="G3" s="4" t="s">
        <v>178</v>
      </c>
      <c r="H3" s="4" t="s">
        <v>326</v>
      </c>
      <c r="I3" s="4" t="s">
        <v>194</v>
      </c>
      <c r="J3" s="4" t="s">
        <v>381</v>
      </c>
      <c r="K3" s="4" t="s">
        <v>377</v>
      </c>
      <c r="L3" s="4" t="s">
        <v>60</v>
      </c>
      <c r="M3" s="4" t="s">
        <v>62</v>
      </c>
      <c r="N3" s="4" t="s">
        <v>114</v>
      </c>
      <c r="O3" s="4" t="s">
        <v>403</v>
      </c>
    </row>
    <row r="4" spans="1:15" ht="14.25" customHeight="1" x14ac:dyDescent="0.3">
      <c r="A4" s="4" t="s">
        <v>404</v>
      </c>
      <c r="B4" s="4" t="s">
        <v>138</v>
      </c>
      <c r="C4" s="4" t="s">
        <v>175</v>
      </c>
      <c r="D4" s="4" t="s">
        <v>166</v>
      </c>
      <c r="E4" s="4" t="s">
        <v>138</v>
      </c>
      <c r="F4" s="4" t="s">
        <v>172</v>
      </c>
      <c r="G4" s="4" t="s">
        <v>168</v>
      </c>
      <c r="H4" s="4" t="s">
        <v>405</v>
      </c>
      <c r="I4" s="4" t="s">
        <v>181</v>
      </c>
      <c r="J4" s="4" t="s">
        <v>138</v>
      </c>
      <c r="K4" s="4" t="s">
        <v>406</v>
      </c>
      <c r="L4" s="4" t="s">
        <v>67</v>
      </c>
      <c r="M4" s="4" t="s">
        <v>64</v>
      </c>
      <c r="N4" s="4" t="s">
        <v>118</v>
      </c>
      <c r="O4" s="4" t="s">
        <v>407</v>
      </c>
    </row>
    <row r="5" spans="1:15" ht="14.25" customHeight="1" x14ac:dyDescent="0.3">
      <c r="A5" s="4" t="s">
        <v>117</v>
      </c>
      <c r="B5" s="4" t="s">
        <v>117</v>
      </c>
      <c r="C5" s="4" t="s">
        <v>171</v>
      </c>
      <c r="D5" s="4" t="s">
        <v>181</v>
      </c>
      <c r="E5" s="4" t="s">
        <v>117</v>
      </c>
      <c r="G5" s="4" t="s">
        <v>211</v>
      </c>
      <c r="H5" s="4" t="s">
        <v>408</v>
      </c>
      <c r="I5" s="4" t="s">
        <v>166</v>
      </c>
      <c r="J5" s="4" t="s">
        <v>363</v>
      </c>
      <c r="K5" s="4" t="s">
        <v>366</v>
      </c>
      <c r="L5" s="4" t="s">
        <v>73</v>
      </c>
      <c r="M5" s="4" t="s">
        <v>66</v>
      </c>
      <c r="N5" s="4" t="s">
        <v>122</v>
      </c>
      <c r="O5" s="4" t="s">
        <v>409</v>
      </c>
    </row>
    <row r="6" spans="1:15" ht="14.25" customHeight="1" x14ac:dyDescent="0.3">
      <c r="A6" s="4" t="s">
        <v>410</v>
      </c>
      <c r="C6" s="4" t="s">
        <v>230</v>
      </c>
      <c r="D6" s="4" t="s">
        <v>194</v>
      </c>
      <c r="E6" s="4" t="s">
        <v>411</v>
      </c>
      <c r="G6" s="4" t="s">
        <v>230</v>
      </c>
      <c r="I6" s="4" t="s">
        <v>362</v>
      </c>
      <c r="J6" s="4" t="s">
        <v>412</v>
      </c>
      <c r="K6" s="4" t="s">
        <v>372</v>
      </c>
      <c r="L6" s="4" t="s">
        <v>78</v>
      </c>
      <c r="M6" s="4" t="s">
        <v>69</v>
      </c>
      <c r="N6" s="4" t="s">
        <v>126</v>
      </c>
      <c r="O6" s="4" t="s">
        <v>413</v>
      </c>
    </row>
    <row r="7" spans="1:15" ht="14.25" customHeight="1" x14ac:dyDescent="0.3">
      <c r="C7" s="4" t="s">
        <v>186</v>
      </c>
      <c r="E7" s="4" t="s">
        <v>414</v>
      </c>
      <c r="G7" s="4" t="s">
        <v>189</v>
      </c>
      <c r="K7" s="4" t="s">
        <v>415</v>
      </c>
      <c r="L7" s="4" t="s">
        <v>83</v>
      </c>
      <c r="M7" s="4" t="s">
        <v>70</v>
      </c>
      <c r="N7" s="4" t="s">
        <v>130</v>
      </c>
      <c r="O7" s="4" t="s">
        <v>416</v>
      </c>
    </row>
    <row r="8" spans="1:15" ht="14.25" customHeight="1" x14ac:dyDescent="0.3">
      <c r="G8" s="4" t="s">
        <v>235</v>
      </c>
      <c r="L8" s="4" t="s">
        <v>88</v>
      </c>
      <c r="M8" s="4" t="s">
        <v>71</v>
      </c>
      <c r="N8" s="4" t="s">
        <v>134</v>
      </c>
      <c r="O8" s="4" t="s">
        <v>417</v>
      </c>
    </row>
    <row r="9" spans="1:15" ht="14.25" customHeight="1" x14ac:dyDescent="0.3">
      <c r="L9" s="4" t="s">
        <v>93</v>
      </c>
      <c r="M9" s="4" t="s">
        <v>75</v>
      </c>
      <c r="N9" s="4" t="s">
        <v>139</v>
      </c>
    </row>
    <row r="10" spans="1:15" ht="14.25" customHeight="1" x14ac:dyDescent="0.3">
      <c r="L10" s="4" t="s">
        <v>98</v>
      </c>
      <c r="M10" s="4" t="s">
        <v>76</v>
      </c>
      <c r="N10" s="4" t="s">
        <v>144</v>
      </c>
    </row>
    <row r="11" spans="1:15" ht="14.25" customHeight="1" x14ac:dyDescent="0.3">
      <c r="L11" s="4" t="s">
        <v>104</v>
      </c>
      <c r="M11" s="4" t="s">
        <v>77</v>
      </c>
    </row>
    <row r="12" spans="1:15" ht="14.25" customHeight="1" x14ac:dyDescent="0.3">
      <c r="M12" s="4" t="s">
        <v>80</v>
      </c>
    </row>
    <row r="13" spans="1:15" ht="14.25" customHeight="1" x14ac:dyDescent="0.3">
      <c r="M13" s="4" t="s">
        <v>81</v>
      </c>
    </row>
    <row r="14" spans="1:15" ht="14.25" customHeight="1" x14ac:dyDescent="0.3">
      <c r="M14" s="4" t="s">
        <v>82</v>
      </c>
    </row>
    <row r="15" spans="1:15" ht="14.25" customHeight="1" x14ac:dyDescent="0.3">
      <c r="M15" s="4" t="s">
        <v>85</v>
      </c>
    </row>
    <row r="16" spans="1:15" ht="14.25" customHeight="1" x14ac:dyDescent="0.3">
      <c r="M16" s="4" t="s">
        <v>86</v>
      </c>
    </row>
    <row r="17" spans="13:13" ht="14.25" customHeight="1" x14ac:dyDescent="0.3">
      <c r="M17" s="4" t="s">
        <v>87</v>
      </c>
    </row>
    <row r="18" spans="13:13" ht="14.25" customHeight="1" x14ac:dyDescent="0.3">
      <c r="M18" s="4" t="s">
        <v>90</v>
      </c>
    </row>
    <row r="19" spans="13:13" ht="14.25" customHeight="1" x14ac:dyDescent="0.3">
      <c r="M19" s="4" t="s">
        <v>91</v>
      </c>
    </row>
    <row r="20" spans="13:13" ht="14.25" customHeight="1" x14ac:dyDescent="0.3">
      <c r="M20" s="4" t="s">
        <v>92</v>
      </c>
    </row>
    <row r="21" spans="13:13" ht="14.25" customHeight="1" x14ac:dyDescent="0.3">
      <c r="M21" s="4" t="s">
        <v>95</v>
      </c>
    </row>
    <row r="22" spans="13:13" ht="14.25" customHeight="1" x14ac:dyDescent="0.3">
      <c r="M22" s="4" t="s">
        <v>96</v>
      </c>
    </row>
    <row r="23" spans="13:13" ht="14.25" customHeight="1" x14ac:dyDescent="0.3">
      <c r="M23" s="4" t="s">
        <v>97</v>
      </c>
    </row>
    <row r="24" spans="13:13" ht="14.25" customHeight="1" x14ac:dyDescent="0.3">
      <c r="M24" s="4" t="s">
        <v>100</v>
      </c>
    </row>
    <row r="25" spans="13:13" ht="14.25" customHeight="1" x14ac:dyDescent="0.3">
      <c r="M25" s="4" t="s">
        <v>101</v>
      </c>
    </row>
    <row r="26" spans="13:13" ht="14.25" customHeight="1" x14ac:dyDescent="0.3">
      <c r="M26" s="4" t="s">
        <v>102</v>
      </c>
    </row>
  </sheetData>
  <mergeCells count="1">
    <mergeCell ref="A1:O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Project_Info</vt:lpstr>
      <vt:lpstr>Team</vt:lpstr>
      <vt:lpstr>Sprint_Plan</vt:lpstr>
      <vt:lpstr>Work_Items</vt:lpstr>
      <vt:lpstr>Dependencies</vt:lpstr>
      <vt:lpstr>Blockers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Souhbarnika V (MS/EIN3-SWC)</cp:lastModifiedBy>
  <cp:revision>0</cp:revision>
  <dcterms:created xsi:type="dcterms:W3CDTF">2026-06-25T14:42:23Z</dcterms:created>
  <dcterms:modified xsi:type="dcterms:W3CDTF">2026-06-26T12:53:31Z</dcterms:modified>
  <dc:language>en-US</dc:language>
</cp:coreProperties>
</file>